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340" tabRatio="500" activeTab="1"/>
  </bookViews>
  <sheets>
    <sheet name="家庭资产负债表" sheetId="1" r:id="rId1"/>
    <sheet name="家庭年度收入支出表" sheetId="2" r:id="rId2"/>
    <sheet name="家庭理财目标表_3" sheetId="3" r:id="rId3"/>
    <sheet name="家庭保险登记表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<sst xmlns="http://schemas.openxmlformats.org/spreadsheetml/2006/main" count="242" uniqueCount="195">
  <si>
    <t>资产负债表 (Balance Sheet)</t>
  </si>
  <si>
    <t>数据截止日期：2026-04-27　　版本：2025Q3</t>
  </si>
  <si>
    <t>资产项目</t>
  </si>
  <si>
    <t>金额（元）</t>
  </si>
  <si>
    <t>占比</t>
  </si>
  <si>
    <t>负债项目</t>
  </si>
  <si>
    <t>备注</t>
  </si>
  <si>
    <t>💧 流动资产</t>
  </si>
  <si>
    <t>🔴 短期负债</t>
  </si>
  <si>
    <t xml:space="preserve">  现金及活期存款</t>
  </si>
  <si>
    <t xml:space="preserve">  信用卡应付款</t>
  </si>
  <si>
    <t xml:space="preserve">  货币基金</t>
  </si>
  <si>
    <t xml:space="preserve">  其他短期借款</t>
  </si>
  <si>
    <t xml:space="preserve">  短期理财产品</t>
  </si>
  <si>
    <t xml:space="preserve">  短期负债小计</t>
  </si>
  <si>
    <t xml:space="preserve">  流动资产小计</t>
  </si>
  <si>
    <t>🔒 受限资产（五险一金）</t>
  </si>
  <si>
    <t xml:space="preserve">  男主｜住房公积金</t>
  </si>
  <si>
    <t xml:space="preserve">  男主｜养老个人账户</t>
  </si>
  <si>
    <t xml:space="preserve">  男主｜医保个人账户</t>
  </si>
  <si>
    <t xml:space="preserve">  女主｜住房公积金</t>
  </si>
  <si>
    <t xml:space="preserve">  女主｜养老个人账户</t>
  </si>
  <si>
    <t xml:space="preserve">  女主｜医保个人账户</t>
  </si>
  <si>
    <t xml:space="preserve">  受限资产小计</t>
  </si>
  <si>
    <t>📈 投资资产</t>
  </si>
  <si>
    <t>🔵 长期负债</t>
  </si>
  <si>
    <t xml:space="preserve">  股票（市值）</t>
  </si>
  <si>
    <t xml:space="preserve">  房屋贷款</t>
  </si>
  <si>
    <t>已还清 ✅</t>
  </si>
  <si>
    <t xml:space="preserve">  基金</t>
  </si>
  <si>
    <t xml:space="preserve">  汽车贷款</t>
  </si>
  <si>
    <t xml:space="preserve">  债券</t>
  </si>
  <si>
    <t xml:space="preserve">  其他长期借款</t>
  </si>
  <si>
    <t xml:space="preserve">  投资性房产（市值）</t>
  </si>
  <si>
    <t xml:space="preserve">  长期负债小计</t>
  </si>
  <si>
    <t xml:space="preserve">  投资资产小计</t>
  </si>
  <si>
    <t>🏠 自用资产</t>
  </si>
  <si>
    <t xml:space="preserve">  自住房产（市值）</t>
  </si>
  <si>
    <t xml:space="preserve">  汽车（市值）</t>
  </si>
  <si>
    <t xml:space="preserve">  自用资产小计</t>
  </si>
  <si>
    <t>资产合计</t>
  </si>
  <si>
    <t>负债合计</t>
  </si>
  <si>
    <t>🏆  家庭净资产 = 资产合计 − 负债合计</t>
  </si>
  <si>
    <t>📊  资产配置结构分析</t>
  </si>
  <si>
    <t>资产类别</t>
  </si>
  <si>
    <t>占总资产比</t>
  </si>
  <si>
    <t>流动性</t>
  </si>
  <si>
    <t>风险提示</t>
  </si>
  <si>
    <t>建议区间</t>
  </si>
  <si>
    <t>流动资产（现金/货基/短期理财）</t>
  </si>
  <si>
    <t>高</t>
  </si>
  <si>
    <t>备用金流动性待优化</t>
  </si>
  <si>
    <t>10–20%</t>
  </si>
  <si>
    <t>受限资产（公积金/养老/医保账户）</t>
  </si>
  <si>
    <t>受限</t>
  </si>
  <si>
    <t>退休前不可随意变现</t>
  </si>
  <si>
    <t>5–15%</t>
  </si>
  <si>
    <t>投资资产（股票/债券/投资房）</t>
  </si>
  <si>
    <t>中低</t>
  </si>
  <si>
    <t>房产占比偏高</t>
  </si>
  <si>
    <t>40–60%</t>
  </si>
  <si>
    <t>自用资产（自住房/汽车）</t>
  </si>
  <si>
    <t>低</t>
  </si>
  <si>
    <t>占比82%，流动性弱</t>
  </si>
  <si>
    <t>30–50%</t>
  </si>
  <si>
    <t>合计</t>
  </si>
  <si>
    <t>家庭年度收入支出表 (Income &amp; Expenses)</t>
  </si>
  <si>
    <t>数据截止日期：2026-04-28　　版本：2025Q3</t>
  </si>
  <si>
    <t>收入项目 (Income)</t>
  </si>
  <si>
    <t>💼 工资收入</t>
  </si>
  <si>
    <t xml:space="preserve">  男主税后工资</t>
  </si>
  <si>
    <t>含去年奖金</t>
  </si>
  <si>
    <t xml:space="preserve">  女主工资收入</t>
  </si>
  <si>
    <t>💰 理财收入</t>
  </si>
  <si>
    <t xml:space="preserve">  房屋租金</t>
  </si>
  <si>
    <t>投资房</t>
  </si>
  <si>
    <t xml:space="preserve">  存款/理财利息</t>
  </si>
  <si>
    <t>短期理财产品待更新</t>
  </si>
  <si>
    <t>收入合计 (A)</t>
  </si>
  <si>
    <t>支出项目 (Expenses)</t>
  </si>
  <si>
    <t>🔒 固定刚性支出（每月基本固定）</t>
  </si>
  <si>
    <t xml:space="preserve">  子女教育</t>
  </si>
  <si>
    <t>9岁&amp;3岁 学费+固定兴趣班</t>
  </si>
  <si>
    <t xml:space="preserve">  父母赡养</t>
  </si>
  <si>
    <t>3位老人固定转账</t>
  </si>
  <si>
    <t xml:space="preserve">  保险费用</t>
  </si>
  <si>
    <t>寿险/重疾险/医疗险年费÷12</t>
  </si>
  <si>
    <t xml:space="preserve">  居住成本</t>
  </si>
  <si>
    <t>🛒 变动必要支出（每月都有，金额浮动）</t>
  </si>
  <si>
    <t xml:space="preserve">  餐饮食材</t>
  </si>
  <si>
    <t>买菜+外卖+下馆子合并</t>
  </si>
  <si>
    <t xml:space="preserve">  居家日常</t>
  </si>
  <si>
    <t>水电燃气网络+日用品+家政</t>
  </si>
  <si>
    <t xml:space="preserve">  交通出行</t>
  </si>
  <si>
    <t>加油/充电+停车+打车+公交</t>
  </si>
  <si>
    <t xml:space="preserve">  医疗健康</t>
  </si>
  <si>
    <t>🎯 自由裁量支出（"花得值不值"重点分析区）</t>
  </si>
  <si>
    <t xml:space="preserve">  购物消费</t>
  </si>
  <si>
    <t>衣物+电器+家居+网购</t>
  </si>
  <si>
    <t xml:space="preserve">  娱乐休闲</t>
  </si>
  <si>
    <t>会员+游戏+演出+健身</t>
  </si>
  <si>
    <t xml:space="preserve">  社交人情</t>
  </si>
  <si>
    <t>红包+礼品+聚餐请客</t>
  </si>
  <si>
    <t xml:space="preserve">  旅游出行</t>
  </si>
  <si>
    <t>👨‍👩‍👧‍👧 家庭专项支出（不规律但单笔金额大）</t>
  </si>
  <si>
    <t xml:space="preserve">  子女成长</t>
  </si>
  <si>
    <t>非固定：书本+玩具+夏令营+择校</t>
  </si>
  <si>
    <t xml:space="preserve">  父母医疗</t>
  </si>
  <si>
    <t>三位老人额外医疗/护理/补品</t>
  </si>
  <si>
    <t xml:space="preserve">  房屋维护</t>
  </si>
  <si>
    <t>维修+装修+家具置换</t>
  </si>
  <si>
    <t>支出合计 (B)</t>
  </si>
  <si>
    <t>季度结余 (A - B)</t>
  </si>
  <si>
    <t>结余率=C32/C8</t>
  </si>
  <si>
    <t>⚡ 自由裁量支出占比</t>
  </si>
  <si>
    <t>建议控制在35%以内</t>
  </si>
  <si>
    <t>家庭理财目标规划表 (Financial Goals)</t>
  </si>
  <si>
    <t>目标分类</t>
  </si>
  <si>
    <t>目标描述</t>
  </si>
  <si>
    <t>目标金额(元)</t>
  </si>
  <si>
    <t>达成年限</t>
  </si>
  <si>
    <t>优先级</t>
  </si>
  <si>
    <t>预期年化收益率</t>
  </si>
  <si>
    <t>年均需储蓄(元)</t>
  </si>
  <si>
    <t>说明/备注</t>
  </si>
  <si>
    <t>短期(1-3年)</t>
  </si>
  <si>
    <t>应对失业风险的紧急储备</t>
  </si>
  <si>
    <t>最高</t>
  </si>
  <si>
    <t>紧急备用金现已20万，缺口30万，建议6个月内补足</t>
  </si>
  <si>
    <t>家庭年度旅游</t>
  </si>
  <si>
    <t>每年</t>
  </si>
  <si>
    <t>中</t>
  </si>
  <si>
    <t>每年固定预算，直接从收入划拨</t>
  </si>
  <si>
    <t>中期(3-10年)</t>
  </si>
  <si>
    <t>大女儿高中/大学教育金</t>
  </si>
  <si>
    <t>9年</t>
  </si>
  <si>
    <t>大女儿9年后上大学，含通胀按4%预期</t>
  </si>
  <si>
    <t>小女儿高中/大学教育金</t>
  </si>
  <si>
    <t>15年</t>
  </si>
  <si>
    <t>小女儿15年后上大学</t>
  </si>
  <si>
    <t>汽车置换</t>
  </si>
  <si>
    <t>10年</t>
  </si>
  <si>
    <t>10年后汽车置换，按现值30万估算</t>
  </si>
  <si>
    <t>长期(&gt;10年)</t>
  </si>
  <si>
    <t>夫妻二人退休养老金</t>
  </si>
  <si>
    <t>20年</t>
  </si>
  <si>
    <t>退休金目标500万，按5%长期投资收益</t>
  </si>
  <si>
    <t>父母长期医疗/护理储备</t>
  </si>
  <si>
    <t>随时</t>
  </si>
  <si>
    <t>随时可能用到，按10年保守估算，建议配置稳健产品</t>
  </si>
  <si>
    <t>年度合计</t>
  </si>
  <si>
    <t>← 这是年度总储蓄目标，对照收入看是否可行</t>
  </si>
  <si>
    <t>🛡️  家庭保险登记表（风险保障全景）</t>
  </si>
  <si>
    <t>被保险人</t>
  </si>
  <si>
    <t>保险类型</t>
  </si>
  <si>
    <t>保险公司/产品名</t>
  </si>
  <si>
    <t>保障内容</t>
  </si>
  <si>
    <t>保额(元)</t>
  </si>
  <si>
    <t>年缴保费(元)</t>
  </si>
  <si>
    <t>续保/到期</t>
  </si>
  <si>
    <t>👨 男主</t>
  </si>
  <si>
    <t>男主</t>
  </si>
  <si>
    <t>定期寿险</t>
  </si>
  <si>
    <t>(待填写)</t>
  </si>
  <si>
    <t>身故/全残保障</t>
  </si>
  <si>
    <t>(到期年份)</t>
  </si>
  <si>
    <t>建议保额=家庭年收入×10</t>
  </si>
  <si>
    <t>重疾险</t>
  </si>
  <si>
    <t>100种重大疾病</t>
  </si>
  <si>
    <t>医疗险</t>
  </si>
  <si>
    <t>住院/手术报销</t>
  </si>
  <si>
    <t>百万医疗，每年续保</t>
  </si>
  <si>
    <t>意外险</t>
  </si>
  <si>
    <t>意外身故/伤残</t>
  </si>
  <si>
    <t>👩 女主</t>
  </si>
  <si>
    <t>女主</t>
  </si>
  <si>
    <t>👧 子女</t>
  </si>
  <si>
    <t>大女儿</t>
  </si>
  <si>
    <t>儿童重大疾病</t>
  </si>
  <si>
    <t>小女儿</t>
  </si>
  <si>
    <t>👴 父母（三位老人）</t>
  </si>
  <si>
    <t>老人</t>
  </si>
  <si>
    <t>医疗险/惠民保</t>
  </si>
  <si>
    <t>老人投保难，惠民保性价比高</t>
  </si>
  <si>
    <t>老人跌倒/意外</t>
  </si>
  <si>
    <t>老年专属意外险</t>
  </si>
  <si>
    <t>🏠 财产/其他</t>
  </si>
  <si>
    <t>家庭</t>
  </si>
  <si>
    <t>家财险</t>
  </si>
  <si>
    <t>房屋及财产损失</t>
  </si>
  <si>
    <t>自住房+投资房可分别投保</t>
  </si>
  <si>
    <t>车险</t>
  </si>
  <si>
    <t>交强险+商业险</t>
  </si>
  <si>
    <t>年度保费合计</t>
  </si>
  <si>
    <t>💡 填写建议：先补男女主的寿险和重疾险（家庭支柱保障优先），再补子女医疗险，最后是老人意外险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</si>
</sst>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77">
    <font>
      <sz val="11"/>
      <color theme="1"/>
      <name val="宋体"/>
      <charset val="134"/>
    </font>
    <font>
      <b/>
      <sz val="13"/>
      <color rgb="FFFFFFFF"/>
      <name val="Noto Sans CJK SC"/>
      <charset val="1"/>
    </font>
    <font>
      <b/>
      <sz val="10"/>
      <color rgb="FFFFFFFF"/>
      <name val="Noto Sans CJK SC"/>
      <charset val="1"/>
    </font>
    <font>
      <b/>
      <sz val="10"/>
      <color rgb="FF1F3864"/>
      <name val="Noto Sans CJK SC"/>
      <charset val="1"/>
    </font>
    <font>
      <sz val="10"/>
      <color rgb="FF000000"/>
      <name val="Noto Sans CJK SC"/>
      <charset val="1"/>
    </font>
    <font>
      <i/>
      <sz val="10"/>
      <color rgb="FF1565C0"/>
      <name val="Arial"/>
      <charset val="1"/>
    </font>
    <font>
      <sz val="10"/>
      <color rgb="FF000000"/>
      <name val="Arial"/>
      <charset val="1"/>
    </font>
    <font>
      <b/>
      <sz val="11"/>
      <color rgb="FF1F3864"/>
      <name val="Noto Sans CJK SC"/>
      <charset val="1"/>
    </font>
    <font>
      <b/>
      <sz val="11"/>
      <color rgb="FFD32F2F"/>
      <name val="Arial"/>
      <charset val="1"/>
    </font>
    <font>
      <i/>
      <sz val="9"/>
      <color rgb="FFE65100"/>
      <name val="Noto Sans CJK SC"/>
      <charset val="1"/>
    </font>
    <font>
      <b/>
      <sz val="13"/>
      <color rgb="FFFFFFFF"/>
      <name val="Noto Sans CJK SC"/>
      <charset val="134"/>
    </font>
    <font>
      <i/>
      <sz val="10"/>
      <color rgb="FFFFFFFF"/>
      <name val="Noto Sans CJK SC"/>
      <charset val="134"/>
    </font>
    <font>
      <b/>
      <sz val="10"/>
      <color rgb="FFFF5252"/>
      <name val="Noto Sans CJK SC"/>
      <charset val="1"/>
    </font>
    <font>
      <sz val="10"/>
      <color rgb="FF1565C0"/>
      <name val="Arial"/>
      <charset val="1"/>
    </font>
    <font>
      <b/>
      <sz val="10"/>
      <color rgb="FFD32F2F"/>
      <name val="Arial"/>
      <charset val="1"/>
    </font>
    <font>
      <i/>
      <sz val="9"/>
      <color rgb="FF616161"/>
      <name val="Noto Sans CJK SC"/>
      <charset val="1"/>
    </font>
    <font>
      <b/>
      <sz val="10"/>
      <color rgb="FF4CAF50"/>
      <name val="Noto Sans CJK SC"/>
      <charset val="1"/>
    </font>
    <font>
      <b/>
      <sz val="10"/>
      <color rgb="FFFF9800"/>
      <name val="Noto Sans CJK SC"/>
      <charset val="1"/>
    </font>
    <font>
      <b/>
      <sz val="10"/>
      <color rgb="FF1B5E20"/>
      <name val="Arial"/>
      <charset val="1"/>
    </font>
    <font>
      <i/>
      <sz val="9"/>
      <color rgb="FF616161"/>
      <name val="Arial"/>
      <charset val="1"/>
    </font>
    <font>
      <sz val="9"/>
      <name val="Noto Sans CJK SC"/>
      <charset val="1"/>
    </font>
    <font>
      <i/>
      <sz val="9"/>
      <color rgb="FF757575"/>
      <name val="Noto Sans CJK SC"/>
      <charset val="1"/>
    </font>
    <font>
      <sz val="9"/>
      <color rgb="FF757575"/>
      <name val="Noto Sans CJK SC"/>
      <charset val="1"/>
    </font>
    <font>
      <b/>
      <sz val="10"/>
      <color rgb="FF1F3864"/>
      <name val="Arial"/>
      <charset val="1"/>
    </font>
    <font>
      <sz val="11"/>
      <name val="Cambria"/>
      <charset val="1"/>
    </font>
    <font>
      <sz val="9"/>
      <color rgb="FF757575"/>
      <name val="Arial"/>
      <charset val="1"/>
    </font>
    <font>
      <sz val="10"/>
      <color rgb="FF1565C0"/>
      <name val="Noto Sans CJK SC"/>
      <charset val="1"/>
    </font>
    <font>
      <b/>
      <sz val="10"/>
      <color rgb="FF1B5E20"/>
      <name val="Noto Sans CJK SC"/>
      <charset val="1"/>
    </font>
    <font>
      <b/>
      <sz val="10"/>
      <color rgb="FFE65100"/>
      <name val="Noto Sans CJK SC"/>
      <charset val="1"/>
    </font>
    <font>
      <b/>
      <sz val="10"/>
      <color rgb="FF4A148C"/>
      <name val="Noto Sans CJK SC"/>
      <charset val="1"/>
    </font>
    <font>
      <b/>
      <sz val="11"/>
      <color rgb="FF1B5E20"/>
      <name val="Noto Sans CJK SC"/>
      <charset val="1"/>
    </font>
    <font>
      <b/>
      <sz val="11"/>
      <color rgb="FF1B5E20"/>
      <name val="Arial"/>
      <charset val="1"/>
    </font>
    <font>
      <i/>
      <sz val="9"/>
      <color rgb="FFE65100"/>
      <name val="Arial"/>
      <charset val="1"/>
    </font>
    <font>
      <i/>
      <sz val="10"/>
      <color rgb="FFFFFFFF"/>
      <name val="Noto Sans CJK SC"/>
      <charset val="1"/>
    </font>
    <font>
      <b/>
      <sz val="10"/>
      <color rgb="FF1565C0"/>
      <name val="Noto Sans CJK SC"/>
      <charset val="1"/>
    </font>
    <font>
      <b/>
      <sz val="10"/>
      <color rgb="FF1565C0"/>
      <name val="Arial"/>
      <charset val="1"/>
    </font>
    <font>
      <b/>
      <sz val="10"/>
      <color rgb="FFB71C1C"/>
      <name val="Noto Sans CJK SC"/>
      <charset val="1"/>
    </font>
    <font>
      <sz val="10"/>
      <color rgb="FF212121"/>
      <name val="Noto Sans CJK SC"/>
      <charset val="1"/>
    </font>
    <font>
      <sz val="10"/>
      <color rgb="FF212121"/>
      <name val="Arial"/>
      <charset val="1"/>
    </font>
    <font>
      <i/>
      <sz val="9"/>
      <color rgb="FF757575"/>
      <name val="Arial"/>
      <charset val="1"/>
    </font>
    <font>
      <b/>
      <sz val="10"/>
      <color rgb="FFB71C1C"/>
      <name val="Arial"/>
      <charset val="1"/>
    </font>
    <font>
      <b/>
      <sz val="10"/>
      <color rgb="FF4527A0"/>
      <name val="Noto Sans CJK SC"/>
      <charset val="1"/>
    </font>
    <font>
      <b/>
      <sz val="10"/>
      <color rgb="FF4527A0"/>
      <name val="Arial"/>
      <charset val="1"/>
    </font>
    <font>
      <i/>
      <sz val="10"/>
      <color rgb="FF4527A0"/>
      <name val="Arial"/>
      <charset val="1"/>
    </font>
    <font>
      <i/>
      <sz val="10"/>
      <color rgb="FF1B5E20"/>
      <name val="Arial"/>
      <charset val="1"/>
    </font>
    <font>
      <b/>
      <sz val="10"/>
      <color rgb="FFE65100"/>
      <name val="Arial"/>
      <charset val="1"/>
    </font>
    <font>
      <i/>
      <sz val="10"/>
      <color rgb="FFE65100"/>
      <name val="Arial"/>
      <charset val="1"/>
    </font>
    <font>
      <b/>
      <sz val="11"/>
      <color rgb="FF1F3864"/>
      <name val="Arial"/>
      <charset val="1"/>
    </font>
    <font>
      <b/>
      <sz val="11"/>
      <color rgb="FFB71C1C"/>
      <name val="Noto Sans CJK SC"/>
      <charset val="1"/>
    </font>
    <font>
      <b/>
      <sz val="11"/>
      <color rgb="FFB71C1C"/>
      <name val="Arial"/>
      <charset val="1"/>
    </font>
    <font>
      <b/>
      <sz val="13"/>
      <color rgb="FF1B5E20"/>
      <name val="Arial"/>
      <charset val="1"/>
    </font>
    <font>
      <b/>
      <sz val="11"/>
      <color rgb="FFFFFFFF"/>
      <name val="Noto Sans CJK SC"/>
      <charset val="1"/>
    </font>
    <font>
      <b/>
      <sz val="10"/>
      <color rgb="FF212121"/>
      <name val="Arial"/>
      <charset val="1"/>
    </font>
    <font>
      <i/>
      <sz val="9"/>
      <color rgb="FFD32F2F"/>
      <name val="Noto Sans CJK SC"/>
      <charset val="1"/>
    </font>
    <font>
      <sz val="9"/>
      <color rgb="FF1B5E20"/>
      <name val="Arial"/>
      <charset val="1"/>
    </font>
    <font>
      <i/>
      <sz val="9"/>
      <color rgb="FF4527A0"/>
      <name val="Noto Sans CJK SC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1F3864"/>
        <bgColor rgb="FF37474F"/>
      </patternFill>
    </fill>
    <fill>
      <patternFill patternType="solid">
        <fgColor rgb="FFE3F2FD"/>
        <bgColor rgb="FFE8F5E9"/>
      </patternFill>
    </fill>
    <fill>
      <patternFill patternType="solid">
        <fgColor rgb="FFFCE4EC"/>
        <bgColor rgb="FFF3E5F5"/>
      </patternFill>
    </fill>
    <fill>
      <patternFill patternType="solid">
        <fgColor rgb="FFE8F5E9"/>
        <bgColor rgb="FFE3F2FD"/>
      </patternFill>
    </fill>
    <fill>
      <patternFill patternType="solid">
        <fgColor rgb="FFFFF3E0"/>
        <bgColor rgb="FFFFF8E1"/>
      </patternFill>
    </fill>
    <fill>
      <patternFill patternType="solid">
        <fgColor rgb="FFF3E5F5"/>
        <bgColor rgb="FFEDE7F6"/>
      </patternFill>
    </fill>
    <fill>
      <patternFill patternType="solid">
        <fgColor rgb="FFFFF9C4"/>
        <bgColor rgb="FFFFF8E1"/>
      </patternFill>
    </fill>
    <fill>
      <patternFill patternType="solid">
        <fgColor rgb="FFFFF8E1"/>
        <bgColor rgb="FFFFF3E0"/>
      </patternFill>
    </fill>
    <fill>
      <patternFill patternType="solid">
        <fgColor rgb="FFE65100"/>
        <bgColor rgb="FFFF5252"/>
      </patternFill>
    </fill>
    <fill>
      <patternFill patternType="solid">
        <fgColor rgb="FFD6E4F0"/>
        <bgColor rgb="FFEDE7F6"/>
      </patternFill>
    </fill>
    <fill>
      <patternFill patternType="solid">
        <fgColor rgb="FFC8E6C9"/>
        <bgColor rgb="FFD6E4F0"/>
      </patternFill>
    </fill>
    <fill>
      <patternFill patternType="solid">
        <fgColor rgb="FF37474F"/>
        <bgColor rgb="FF1F3864"/>
      </patternFill>
    </fill>
    <fill>
      <patternFill patternType="solid">
        <fgColor rgb="FFFFCDD2"/>
        <bgColor rgb="FFFCE4EC"/>
      </patternFill>
    </fill>
    <fill>
      <patternFill patternType="solid">
        <fgColor rgb="FFBBDEFB"/>
        <bgColor rgb="FFD6E4F0"/>
      </patternFill>
    </fill>
    <fill>
      <patternFill patternType="solid">
        <fgColor rgb="FFEDE7F6"/>
        <bgColor rgb="FFF3E5F5"/>
      </patternFill>
    </fill>
    <fill>
      <patternFill patternType="solid">
        <fgColor rgb="FFF5F5F5"/>
        <bgColor rgb="FFE8F5E9"/>
      </patternFill>
    </fill>
    <fill>
      <patternFill patternType="solid">
        <fgColor rgb="FFD1C4E9"/>
        <bgColor rgb="FFBDBDBD"/>
      </patternFill>
    </fill>
    <fill>
      <patternFill patternType="solid">
        <fgColor rgb="FFA5D6A7"/>
        <bgColor rgb="FFBDBDBD"/>
      </patternFill>
    </fill>
    <fill>
      <patternFill patternType="solid">
        <fgColor rgb="FFFFCC80"/>
        <bgColor rgb="FFFFCDD2"/>
      </patternFill>
    </fill>
    <fill>
      <patternFill patternType="solid">
        <fgColor rgb="FF546E7A"/>
        <bgColor rgb="FF61616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medium">
        <color rgb="FF9E9E9E"/>
      </left>
      <right style="medium">
        <color rgb="FF9E9E9E"/>
      </right>
      <top style="medium">
        <color rgb="FF9E9E9E"/>
      </top>
      <bottom style="medium">
        <color rgb="FF9E9E9E"/>
      </bottom>
      <diagonal/>
    </border>
    <border>
      <left style="medium">
        <color rgb="FF9E9E9E"/>
      </left>
      <right/>
      <top style="medium">
        <color rgb="FF9E9E9E"/>
      </top>
      <bottom style="medium">
        <color rgb="FF9E9E9E"/>
      </bottom>
      <diagonal/>
    </border>
    <border>
      <left/>
      <right/>
      <top style="medium">
        <color rgb="FF9E9E9E"/>
      </top>
      <bottom style="medium">
        <color rgb="FF9E9E9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6" fillId="0" borderId="0"/>
    <xf numFmtId="44" fontId="56" fillId="0" borderId="0"/>
    <xf numFmtId="9" fontId="56" fillId="0" borderId="0"/>
    <xf numFmtId="41" fontId="56" fillId="0" borderId="0"/>
    <xf numFmtId="42" fontId="56" fillId="0" borderId="0"/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22" borderId="8" applyNumberFormat="0" applyFont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4" fillId="0" borderId="9" applyNumberFormat="0" applyFill="0" applyAlignment="0" applyProtection="0">
      <alignment vertical="center"/>
    </xf>
    <xf numFmtId="0" fontId="65" fillId="0" borderId="10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23" borderId="11" applyNumberFormat="0" applyAlignment="0" applyProtection="0">
      <alignment vertical="center"/>
    </xf>
    <xf numFmtId="0" fontId="67" fillId="24" borderId="12" applyNumberFormat="0" applyAlignment="0" applyProtection="0">
      <alignment vertical="center"/>
    </xf>
    <xf numFmtId="0" fontId="68" fillId="24" borderId="11" applyNumberFormat="0" applyAlignment="0" applyProtection="0">
      <alignment vertical="center"/>
    </xf>
    <xf numFmtId="0" fontId="69" fillId="25" borderId="13" applyNumberFormat="0" applyAlignment="0" applyProtection="0">
      <alignment vertical="center"/>
    </xf>
    <xf numFmtId="0" fontId="70" fillId="0" borderId="14" applyNumberFormat="0" applyFill="0" applyAlignment="0" applyProtection="0">
      <alignment vertical="center"/>
    </xf>
    <xf numFmtId="0" fontId="71" fillId="0" borderId="15" applyNumberFormat="0" applyFill="0" applyAlignment="0" applyProtection="0">
      <alignment vertical="center"/>
    </xf>
    <xf numFmtId="0" fontId="72" fillId="26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5" fillId="29" borderId="0" applyNumberFormat="0" applyBorder="0" applyAlignment="0" applyProtection="0">
      <alignment vertical="center"/>
    </xf>
    <xf numFmtId="0" fontId="76" fillId="30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6" fillId="34" borderId="0" applyNumberFormat="0" applyBorder="0" applyAlignment="0" applyProtection="0">
      <alignment vertical="center"/>
    </xf>
    <xf numFmtId="0" fontId="76" fillId="35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7" borderId="0" applyNumberFormat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5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5" fillId="48" borderId="0" applyNumberFormat="0" applyBorder="0" applyAlignment="0" applyProtection="0">
      <alignment vertical="center"/>
    </xf>
    <xf numFmtId="0" fontId="75" fillId="49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1" borderId="0" applyNumberFormat="0" applyBorder="0" applyAlignment="0" applyProtection="0">
      <alignment vertical="center"/>
    </xf>
    <xf numFmtId="0" fontId="75" fillId="52" borderId="0" applyNumberFormat="0" applyBorder="0" applyAlignment="0" applyProtection="0">
      <alignment vertical="center"/>
    </xf>
  </cellStyleXfs>
  <cellXfs count="170">
    <xf numFmtId="0" fontId="0" fillId="0" borderId="0" xfId="0" applyAlignment="1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indent="1"/>
    </xf>
    <xf numFmtId="0" fontId="0" fillId="0" borderId="3" xfId="0" applyBorder="1"/>
    <xf numFmtId="0" fontId="4" fillId="3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indent="1"/>
    </xf>
    <xf numFmtId="3" fontId="5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3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indent="1"/>
    </xf>
    <xf numFmtId="0" fontId="3" fillId="5" borderId="2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indent="1"/>
    </xf>
    <xf numFmtId="3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indent="1"/>
    </xf>
    <xf numFmtId="3" fontId="5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 indent="1"/>
    </xf>
    <xf numFmtId="0" fontId="4" fillId="7" borderId="1" xfId="0" applyFont="1" applyFill="1" applyBorder="1" applyAlignment="1">
      <alignment horizontal="left" vertical="center" indent="1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indent="1"/>
    </xf>
    <xf numFmtId="3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 indent="1"/>
    </xf>
    <xf numFmtId="0" fontId="0" fillId="8" borderId="1" xfId="0" applyFill="1" applyBorder="1" applyAlignment="1">
      <alignment horizontal="center" vertical="center"/>
    </xf>
    <xf numFmtId="3" fontId="8" fillId="8" borderId="1" xfId="0" applyNumberFormat="1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left" vertical="center" indent="1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right" vertical="center" indent="1"/>
    </xf>
    <xf numFmtId="0" fontId="2" fillId="1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indent="1"/>
    </xf>
    <xf numFmtId="3" fontId="6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76" fontId="13" fillId="3" borderId="1" xfId="0" applyNumberFormat="1" applyFont="1" applyFill="1" applyBorder="1" applyAlignment="1">
      <alignment horizontal="center" vertical="center"/>
    </xf>
    <xf numFmtId="3" fontId="14" fillId="3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 wrapText="1" indent="1"/>
    </xf>
    <xf numFmtId="0" fontId="16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indent="1"/>
    </xf>
    <xf numFmtId="3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176" fontId="13" fillId="5" borderId="1" xfId="0" applyNumberFormat="1" applyFont="1" applyFill="1" applyBorder="1" applyAlignment="1">
      <alignment horizontal="center" vertical="center"/>
    </xf>
    <xf numFmtId="3" fontId="18" fillId="5" borderId="1" xfId="0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 wrapText="1" indent="1"/>
    </xf>
    <xf numFmtId="0" fontId="16" fillId="5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left" vertical="center" wrapText="1" indent="1"/>
    </xf>
    <xf numFmtId="0" fontId="4" fillId="6" borderId="1" xfId="0" applyFont="1" applyFill="1" applyBorder="1" applyAlignment="1">
      <alignment horizontal="center" vertical="center" indent="1"/>
    </xf>
    <xf numFmtId="3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176" fontId="13" fillId="6" borderId="1" xfId="0" applyNumberFormat="1" applyFont="1" applyFill="1" applyBorder="1" applyAlignment="1">
      <alignment horizontal="center" vertical="center"/>
    </xf>
    <xf numFmtId="3" fontId="18" fillId="6" borderId="1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left" vertical="center" wrapText="1" indent="1"/>
    </xf>
    <xf numFmtId="0" fontId="7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0" fillId="0" borderId="4" xfId="0" applyBorder="1"/>
    <xf numFmtId="0" fontId="3" fillId="11" borderId="1" xfId="0" applyFont="1" applyFill="1" applyBorder="1" applyAlignment="1">
      <alignment horizontal="left" vertical="center" indent="1"/>
    </xf>
    <xf numFmtId="0" fontId="0" fillId="0" borderId="3" xfId="0" applyBorder="1" applyAlignment="1"/>
    <xf numFmtId="0" fontId="0" fillId="0" borderId="4" xfId="0" applyBorder="1" applyAlignment="1"/>
    <xf numFmtId="0" fontId="4" fillId="0" borderId="1" xfId="0" applyFont="1" applyBorder="1" applyAlignment="1">
      <alignment horizontal="left" vertical="center" indent="1"/>
    </xf>
    <xf numFmtId="3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22" fillId="0" borderId="1" xfId="0" applyFont="1" applyBorder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 indent="1"/>
    </xf>
    <xf numFmtId="0" fontId="23" fillId="8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 indent="1"/>
    </xf>
    <xf numFmtId="2" fontId="26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5" borderId="1" xfId="0" applyFont="1" applyFill="1" applyBorder="1" applyAlignment="1">
      <alignment horizontal="left" vertical="center" indent="1"/>
    </xf>
    <xf numFmtId="0" fontId="28" fillId="6" borderId="1" xfId="0" applyFont="1" applyFill="1" applyBorder="1" applyAlignment="1">
      <alignment horizontal="left" vertical="center" indent="1"/>
    </xf>
    <xf numFmtId="0" fontId="29" fillId="7" borderId="1" xfId="0" applyFont="1" applyFill="1" applyBorder="1" applyAlignment="1">
      <alignment horizontal="left" vertical="center" indent="1"/>
    </xf>
    <xf numFmtId="0" fontId="30" fillId="12" borderId="1" xfId="0" applyFont="1" applyFill="1" applyBorder="1" applyAlignment="1">
      <alignment horizontal="left" vertical="center" indent="1"/>
    </xf>
    <xf numFmtId="0" fontId="31" fillId="12" borderId="1" xfId="0" applyFont="1" applyFill="1" applyBorder="1" applyAlignment="1">
      <alignment horizontal="center" vertical="center"/>
    </xf>
    <xf numFmtId="0" fontId="30" fillId="12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 indent="1"/>
    </xf>
    <xf numFmtId="176" fontId="32" fillId="9" borderId="1" xfId="0" applyNumberFormat="1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33" fillId="2" borderId="0" xfId="0" applyFont="1" applyFill="1" applyAlignment="1">
      <alignment horizontal="right" vertical="center" indent="1"/>
    </xf>
    <xf numFmtId="0" fontId="2" fillId="13" borderId="1" xfId="0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left" vertical="center" indent="1"/>
    </xf>
    <xf numFmtId="0" fontId="35" fillId="3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left" vertical="center" indent="1"/>
    </xf>
    <xf numFmtId="0" fontId="0" fillId="4" borderId="1" xfId="0" applyFill="1" applyBorder="1" applyAlignment="1"/>
    <xf numFmtId="0" fontId="37" fillId="3" borderId="1" xfId="0" applyFont="1" applyFill="1" applyBorder="1" applyAlignment="1">
      <alignment horizontal="left" vertical="center" indent="1"/>
    </xf>
    <xf numFmtId="3" fontId="38" fillId="3" borderId="1" xfId="0" applyNumberFormat="1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left" vertical="center" indent="1"/>
    </xf>
    <xf numFmtId="3" fontId="38" fillId="4" borderId="1" xfId="0" applyNumberFormat="1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left" vertical="center" indent="1"/>
    </xf>
    <xf numFmtId="0" fontId="36" fillId="14" borderId="1" xfId="0" applyFont="1" applyFill="1" applyBorder="1" applyAlignment="1">
      <alignment horizontal="left" vertical="center" indent="1"/>
    </xf>
    <xf numFmtId="3" fontId="40" fillId="14" borderId="1" xfId="0" applyNumberFormat="1" applyFont="1" applyFill="1" applyBorder="1" applyAlignment="1">
      <alignment horizontal="center" vertical="center"/>
    </xf>
    <xf numFmtId="0" fontId="34" fillId="15" borderId="1" xfId="0" applyFont="1" applyFill="1" applyBorder="1" applyAlignment="1">
      <alignment horizontal="left" vertical="center" indent="1"/>
    </xf>
    <xf numFmtId="3" fontId="35" fillId="15" borderId="1" xfId="0" applyNumberFormat="1" applyFont="1" applyFill="1" applyBorder="1" applyAlignment="1">
      <alignment horizontal="center" vertical="center"/>
    </xf>
    <xf numFmtId="176" fontId="35" fillId="15" borderId="1" xfId="0" applyNumberFormat="1" applyFont="1" applyFill="1" applyBorder="1" applyAlignment="1">
      <alignment horizontal="center" vertical="center"/>
    </xf>
    <xf numFmtId="0" fontId="0" fillId="0" borderId="1" xfId="0" applyBorder="1" applyAlignment="1"/>
    <xf numFmtId="0" fontId="41" fillId="16" borderId="1" xfId="0" applyFont="1" applyFill="1" applyBorder="1" applyAlignment="1">
      <alignment horizontal="left" vertical="center" indent="1"/>
    </xf>
    <xf numFmtId="0" fontId="42" fillId="16" borderId="1" xfId="0" applyFont="1" applyFill="1" applyBorder="1" applyAlignment="1">
      <alignment horizontal="center" vertical="center"/>
    </xf>
    <xf numFmtId="0" fontId="0" fillId="17" borderId="1" xfId="0" applyFill="1" applyBorder="1" applyAlignment="1"/>
    <xf numFmtId="0" fontId="37" fillId="16" borderId="1" xfId="0" applyFont="1" applyFill="1" applyBorder="1" applyAlignment="1">
      <alignment horizontal="left" vertical="center" indent="1"/>
    </xf>
    <xf numFmtId="3" fontId="5" fillId="16" borderId="1" xfId="0" applyNumberFormat="1" applyFont="1" applyFill="1" applyBorder="1" applyAlignment="1">
      <alignment horizontal="center" vertical="center"/>
    </xf>
    <xf numFmtId="176" fontId="43" fillId="16" borderId="1" xfId="0" applyNumberFormat="1" applyFont="1" applyFill="1" applyBorder="1" applyAlignment="1">
      <alignment horizontal="center" vertical="center"/>
    </xf>
    <xf numFmtId="0" fontId="41" fillId="18" borderId="1" xfId="0" applyFont="1" applyFill="1" applyBorder="1" applyAlignment="1">
      <alignment horizontal="left" vertical="center" indent="1"/>
    </xf>
    <xf numFmtId="3" fontId="42" fillId="18" borderId="1" xfId="0" applyNumberFormat="1" applyFont="1" applyFill="1" applyBorder="1" applyAlignment="1">
      <alignment horizontal="center" vertical="center"/>
    </xf>
    <xf numFmtId="176" fontId="42" fillId="18" borderId="1" xfId="0" applyNumberFormat="1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37" fillId="5" borderId="1" xfId="0" applyFont="1" applyFill="1" applyBorder="1" applyAlignment="1">
      <alignment horizontal="left" vertical="center" indent="1"/>
    </xf>
    <xf numFmtId="3" fontId="38" fillId="5" borderId="1" xfId="0" applyNumberFormat="1" applyFont="1" applyFill="1" applyBorder="1" applyAlignment="1">
      <alignment horizontal="center" vertical="center"/>
    </xf>
    <xf numFmtId="176" fontId="44" fillId="5" borderId="1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left" vertical="center" indent="1"/>
    </xf>
    <xf numFmtId="0" fontId="27" fillId="19" borderId="1" xfId="0" applyFont="1" applyFill="1" applyBorder="1" applyAlignment="1">
      <alignment horizontal="left" vertical="center" indent="1"/>
    </xf>
    <xf numFmtId="176" fontId="18" fillId="19" borderId="1" xfId="0" applyNumberFormat="1" applyFont="1" applyFill="1" applyBorder="1" applyAlignment="1">
      <alignment horizontal="center" vertical="center"/>
    </xf>
    <xf numFmtId="0" fontId="45" fillId="6" borderId="1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left" vertical="center" indent="1"/>
    </xf>
    <xf numFmtId="3" fontId="38" fillId="6" borderId="1" xfId="0" applyNumberFormat="1" applyFont="1" applyFill="1" applyBorder="1" applyAlignment="1">
      <alignment horizontal="center" vertical="center"/>
    </xf>
    <xf numFmtId="176" fontId="46" fillId="6" borderId="1" xfId="0" applyNumberFormat="1" applyFont="1" applyFill="1" applyBorder="1" applyAlignment="1">
      <alignment horizontal="center" vertical="center"/>
    </xf>
    <xf numFmtId="0" fontId="28" fillId="20" borderId="1" xfId="0" applyFont="1" applyFill="1" applyBorder="1" applyAlignment="1">
      <alignment horizontal="left" vertical="center" indent="1"/>
    </xf>
    <xf numFmtId="3" fontId="45" fillId="20" borderId="1" xfId="0" applyNumberFormat="1" applyFont="1" applyFill="1" applyBorder="1" applyAlignment="1">
      <alignment horizontal="center" vertical="center"/>
    </xf>
    <xf numFmtId="176" fontId="45" fillId="20" borderId="1" xfId="0" applyNumberFormat="1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left" vertical="center" indent="1"/>
    </xf>
    <xf numFmtId="3" fontId="47" fillId="8" borderId="5" xfId="0" applyNumberFormat="1" applyFont="1" applyFill="1" applyBorder="1" applyAlignment="1">
      <alignment horizontal="center" vertical="center"/>
    </xf>
    <xf numFmtId="176" fontId="47" fillId="8" borderId="5" xfId="0" applyNumberFormat="1" applyFont="1" applyFill="1" applyBorder="1" applyAlignment="1">
      <alignment horizontal="center" vertical="center"/>
    </xf>
    <xf numFmtId="0" fontId="48" fillId="8" borderId="5" xfId="0" applyFont="1" applyFill="1" applyBorder="1" applyAlignment="1">
      <alignment horizontal="left" vertical="center" indent="1"/>
    </xf>
    <xf numFmtId="3" fontId="49" fillId="8" borderId="5" xfId="0" applyNumberFormat="1" applyFont="1" applyFill="1" applyBorder="1" applyAlignment="1">
      <alignment horizontal="center" vertical="center"/>
    </xf>
    <xf numFmtId="0" fontId="30" fillId="12" borderId="6" xfId="0" applyFont="1" applyFill="1" applyBorder="1" applyAlignment="1">
      <alignment horizontal="left" vertical="center" indent="1"/>
    </xf>
    <xf numFmtId="0" fontId="0" fillId="0" borderId="7" xfId="0" applyBorder="1" applyAlignment="1"/>
    <xf numFmtId="0" fontId="0" fillId="12" borderId="5" xfId="0" applyFill="1" applyBorder="1" applyAlignment="1"/>
    <xf numFmtId="3" fontId="50" fillId="12" borderId="6" xfId="0" applyNumberFormat="1" applyFont="1" applyFill="1" applyBorder="1" applyAlignment="1">
      <alignment horizontal="center" vertical="center"/>
    </xf>
    <xf numFmtId="0" fontId="51" fillId="13" borderId="0" xfId="0" applyFont="1" applyFill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3" fontId="52" fillId="3" borderId="1" xfId="0" applyNumberFormat="1" applyFont="1" applyFill="1" applyBorder="1" applyAlignment="1">
      <alignment horizontal="center" vertical="center"/>
    </xf>
    <xf numFmtId="176" fontId="35" fillId="3" borderId="1" xfId="0" applyNumberFormat="1" applyFont="1" applyFill="1" applyBorder="1" applyAlignment="1">
      <alignment horizontal="center" vertical="center"/>
    </xf>
    <xf numFmtId="0" fontId="37" fillId="3" borderId="1" xfId="0" applyFont="1" applyFill="1" applyBorder="1" applyAlignment="1">
      <alignment horizontal="center" vertical="center"/>
    </xf>
    <xf numFmtId="0" fontId="53" fillId="3" borderId="1" xfId="0" applyFont="1" applyFill="1" applyBorder="1" applyAlignment="1">
      <alignment horizontal="center" vertical="center"/>
    </xf>
    <xf numFmtId="0" fontId="54" fillId="3" borderId="1" xfId="0" applyFont="1" applyFill="1" applyBorder="1" applyAlignment="1">
      <alignment horizontal="center" vertical="center"/>
    </xf>
    <xf numFmtId="3" fontId="52" fillId="16" borderId="1" xfId="0" applyNumberFormat="1" applyFont="1" applyFill="1" applyBorder="1" applyAlignment="1">
      <alignment horizontal="center" vertical="center"/>
    </xf>
    <xf numFmtId="176" fontId="42" fillId="16" borderId="1" xfId="0" applyNumberFormat="1" applyFont="1" applyFill="1" applyBorder="1" applyAlignment="1">
      <alignment horizontal="center" vertical="center"/>
    </xf>
    <xf numFmtId="0" fontId="37" fillId="16" borderId="1" xfId="0" applyFont="1" applyFill="1" applyBorder="1" applyAlignment="1">
      <alignment horizontal="center" vertical="center"/>
    </xf>
    <xf numFmtId="0" fontId="55" fillId="16" borderId="1" xfId="0" applyFont="1" applyFill="1" applyBorder="1" applyAlignment="1">
      <alignment horizontal="center" vertical="center"/>
    </xf>
    <xf numFmtId="0" fontId="54" fillId="16" borderId="1" xfId="0" applyFont="1" applyFill="1" applyBorder="1" applyAlignment="1">
      <alignment horizontal="center" vertical="center"/>
    </xf>
    <xf numFmtId="3" fontId="52" fillId="5" borderId="1" xfId="0" applyNumberFormat="1" applyFont="1" applyFill="1" applyBorder="1" applyAlignment="1">
      <alignment horizontal="center" vertical="center"/>
    </xf>
    <xf numFmtId="176" fontId="35" fillId="5" borderId="1" xfId="0" applyNumberFormat="1" applyFont="1" applyFill="1" applyBorder="1" applyAlignment="1">
      <alignment horizontal="center" vertical="center"/>
    </xf>
    <xf numFmtId="0" fontId="37" fillId="5" borderId="1" xfId="0" applyFont="1" applyFill="1" applyBorder="1" applyAlignment="1">
      <alignment horizontal="center" vertical="center"/>
    </xf>
    <xf numFmtId="0" fontId="53" fillId="5" borderId="1" xfId="0" applyFont="1" applyFill="1" applyBorder="1" applyAlignment="1">
      <alignment horizontal="center" vertical="center"/>
    </xf>
    <xf numFmtId="0" fontId="54" fillId="5" borderId="1" xfId="0" applyFont="1" applyFill="1" applyBorder="1" applyAlignment="1">
      <alignment horizontal="center" vertical="center"/>
    </xf>
    <xf numFmtId="3" fontId="52" fillId="6" borderId="1" xfId="0" applyNumberFormat="1" applyFont="1" applyFill="1" applyBorder="1" applyAlignment="1">
      <alignment horizontal="center" vertical="center"/>
    </xf>
    <xf numFmtId="176" fontId="35" fillId="6" borderId="1" xfId="0" applyNumberFormat="1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53" fillId="6" borderId="1" xfId="0" applyFont="1" applyFill="1" applyBorder="1" applyAlignment="1">
      <alignment horizontal="center" vertical="center"/>
    </xf>
    <xf numFmtId="0" fontId="54" fillId="6" borderId="1" xfId="0" applyFont="1" applyFill="1" applyBorder="1" applyAlignment="1">
      <alignment horizontal="center" vertical="center"/>
    </xf>
    <xf numFmtId="3" fontId="23" fillId="8" borderId="1" xfId="0" applyNumberFormat="1" applyFont="1" applyFill="1" applyBorder="1" applyAlignment="1">
      <alignment horizontal="center" vertical="center"/>
    </xf>
    <xf numFmtId="176" fontId="23" fillId="8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1B5E20"/>
      <rgbColor rgb="00000080"/>
      <rgbColor rgb="00616161"/>
      <rgbColor rgb="00800080"/>
      <rgbColor rgb="00008080"/>
      <rgbColor rgb="00BDBDBD"/>
      <rgbColor rgb="00757575"/>
      <rgbColor rgb="00A5D6A7"/>
      <rgbColor rgb="00D32F2F"/>
      <rgbColor rgb="00FFF9C4"/>
      <rgbColor rgb="00E3F2FD"/>
      <rgbColor rgb="004A148C"/>
      <rgbColor rgb="00FF5252"/>
      <rgbColor rgb="001565C0"/>
      <rgbColor rgb="00D1C4E9"/>
      <rgbColor rgb="00000080"/>
      <rgbColor rgb="00FF00FF"/>
      <rgbColor rgb="00F5F5F5"/>
      <rgbColor rgb="0000FFFF"/>
      <rgbColor rgb="00800080"/>
      <rgbColor rgb="00800000"/>
      <rgbColor rgb="00008080"/>
      <rgbColor rgb="000000FF"/>
      <rgbColor rgb="0000CCFF"/>
      <rgbColor rgb="00E8F5E9"/>
      <rgbColor rgb="00C8E6C9"/>
      <rgbColor rgb="00FFF8E1"/>
      <rgbColor rgb="00BBDEFB"/>
      <rgbColor rgb="00FFCDD2"/>
      <rgbColor rgb="00D6E4F0"/>
      <rgbColor rgb="00FFCC80"/>
      <rgbColor rgb="003366FF"/>
      <rgbColor rgb="00F3E5F5"/>
      <rgbColor rgb="00EDE7F6"/>
      <rgbColor rgb="00FCE4EC"/>
      <rgbColor rgb="00FF9800"/>
      <rgbColor rgb="00E65100"/>
      <rgbColor rgb="00546E7A"/>
      <rgbColor rgb="009E9E9E"/>
      <rgbColor rgb="001F3864"/>
      <rgbColor rgb="004CAF50"/>
      <rgbColor rgb="00003300"/>
      <rgbColor rgb="0037474F"/>
      <rgbColor rgb="00B71C1C"/>
      <rgbColor rgb="00993366"/>
      <rgbColor rgb="004527A0"/>
      <rgbColor rgb="0021212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opLeftCell="A3" workbookViewId="0">
      <selection activeCell="C35" sqref="C35"/>
    </sheetView>
  </sheetViews>
  <sheetFormatPr defaultColWidth="8.53846153846154" defaultRowHeight="16.8" outlineLevelCol="5"/>
  <cols>
    <col min="1" max="1" width="22" customWidth="1"/>
    <col min="2" max="2" width="14" customWidth="1"/>
    <col min="3" max="3" width="10" customWidth="1"/>
    <col min="4" max="4" width="22" customWidth="1"/>
    <col min="5" max="5" width="14" customWidth="1"/>
    <col min="6" max="6" width="10" customWidth="1"/>
  </cols>
  <sheetData>
    <row r="1" ht="28" customHeight="1" spans="1:6">
      <c r="A1" s="1" t="s">
        <v>0</v>
      </c>
      <c r="D1" s="96" t="s">
        <v>1</v>
      </c>
    </row>
    <row r="2" ht="20" customHeight="1" spans="1:6">
      <c r="A2" s="97" t="s">
        <v>2</v>
      </c>
      <c r="B2" s="97" t="s">
        <v>3</v>
      </c>
      <c r="C2" s="97" t="s">
        <v>4</v>
      </c>
      <c r="D2" s="97" t="s">
        <v>5</v>
      </c>
      <c r="E2" s="97" t="s">
        <v>3</v>
      </c>
      <c r="F2" s="97" t="s">
        <v>6</v>
      </c>
    </row>
    <row r="3" ht="20" customHeight="1" spans="1:6">
      <c r="A3" s="98" t="s">
        <v>7</v>
      </c>
      <c r="B3" s="99"/>
      <c r="C3" s="99"/>
      <c r="D3" s="100" t="s">
        <v>8</v>
      </c>
      <c r="E3" s="101"/>
      <c r="F3" s="101"/>
    </row>
    <row r="4" ht="20" customHeight="1" spans="1:6">
      <c r="A4" s="102" t="s">
        <v>9</v>
      </c>
      <c r="B4" s="103">
        <v>0</v>
      </c>
      <c r="C4" s="104" t="e">
        <f>B4/B$20</f>
        <v>#DIV/0!</v>
      </c>
      <c r="D4" s="105" t="s">
        <v>10</v>
      </c>
      <c r="E4" s="106">
        <v>0</v>
      </c>
      <c r="F4" s="107"/>
    </row>
    <row r="5" ht="20" customHeight="1" spans="1:6">
      <c r="A5" s="102" t="s">
        <v>11</v>
      </c>
      <c r="B5" s="103">
        <v>0</v>
      </c>
      <c r="C5" s="104" t="e">
        <f>B5/B$20</f>
        <v>#DIV/0!</v>
      </c>
      <c r="D5" s="105" t="s">
        <v>12</v>
      </c>
      <c r="E5" s="106">
        <v>0</v>
      </c>
      <c r="F5" s="107"/>
    </row>
    <row r="6" ht="20" customHeight="1" spans="1:6">
      <c r="A6" s="102" t="s">
        <v>13</v>
      </c>
      <c r="B6" s="103">
        <v>0</v>
      </c>
      <c r="C6" s="104" t="e">
        <f>B6/B$20</f>
        <v>#DIV/0!</v>
      </c>
      <c r="D6" s="108" t="s">
        <v>14</v>
      </c>
      <c r="E6" s="109">
        <f>SUM(E4:E5)</f>
        <v>0</v>
      </c>
      <c r="F6" s="108"/>
    </row>
    <row r="7" ht="20" customHeight="1" spans="1:6">
      <c r="A7" s="110" t="s">
        <v>15</v>
      </c>
      <c r="B7" s="111">
        <f>SUM(B4:B6)</f>
        <v>0</v>
      </c>
      <c r="C7" s="112" t="e">
        <f>SUM(C4:C6)</f>
        <v>#DIV/0!</v>
      </c>
      <c r="D7" s="113"/>
      <c r="E7" s="113"/>
      <c r="F7" s="113"/>
    </row>
    <row r="8" ht="20" customHeight="1" spans="1:6">
      <c r="A8" s="114" t="s">
        <v>16</v>
      </c>
      <c r="B8" s="115"/>
      <c r="C8" s="115"/>
      <c r="D8" s="116"/>
      <c r="E8" s="116"/>
      <c r="F8" s="116"/>
    </row>
    <row r="9" ht="20" customHeight="1" spans="1:6">
      <c r="A9" s="117" t="s">
        <v>17</v>
      </c>
      <c r="B9" s="118"/>
      <c r="C9" s="119" t="str">
        <f t="shared" ref="C9:C14" si="0">IFERROR(B9/B$28,"")</f>
        <v/>
      </c>
      <c r="D9" s="116"/>
      <c r="E9" s="116"/>
      <c r="F9" s="116"/>
    </row>
    <row r="10" ht="20" customHeight="1" spans="1:6">
      <c r="A10" s="117" t="s">
        <v>18</v>
      </c>
      <c r="B10" s="118"/>
      <c r="C10" s="119" t="str">
        <f t="shared" si="0"/>
        <v/>
      </c>
      <c r="D10" s="116"/>
      <c r="E10" s="116"/>
      <c r="F10" s="116"/>
    </row>
    <row r="11" ht="20" customHeight="1" spans="1:6">
      <c r="A11" s="117" t="s">
        <v>19</v>
      </c>
      <c r="B11" s="118"/>
      <c r="C11" s="119" t="str">
        <f t="shared" si="0"/>
        <v/>
      </c>
      <c r="D11" s="116"/>
      <c r="E11" s="116"/>
      <c r="F11" s="116"/>
    </row>
    <row r="12" ht="20" customHeight="1" spans="1:6">
      <c r="A12" s="117" t="s">
        <v>20</v>
      </c>
      <c r="B12" s="118"/>
      <c r="C12" s="119" t="str">
        <f t="shared" si="0"/>
        <v/>
      </c>
      <c r="D12" s="116"/>
      <c r="E12" s="116"/>
      <c r="F12" s="116"/>
    </row>
    <row r="13" ht="20" customHeight="1" spans="1:6">
      <c r="A13" s="117" t="s">
        <v>21</v>
      </c>
      <c r="B13" s="118"/>
      <c r="C13" s="119" t="str">
        <f t="shared" si="0"/>
        <v/>
      </c>
      <c r="D13" s="116"/>
      <c r="E13" s="116"/>
      <c r="F13" s="116"/>
    </row>
    <row r="14" ht="20" customHeight="1" spans="1:6">
      <c r="A14" s="117" t="s">
        <v>22</v>
      </c>
      <c r="B14" s="118"/>
      <c r="C14" s="119" t="str">
        <f t="shared" si="0"/>
        <v/>
      </c>
      <c r="D14" s="116"/>
      <c r="E14" s="116"/>
      <c r="F14" s="116"/>
    </row>
    <row r="15" ht="20" customHeight="1" spans="1:6">
      <c r="A15" s="120" t="s">
        <v>23</v>
      </c>
      <c r="B15" s="121">
        <f>SUM(B9:B14)</f>
        <v>0</v>
      </c>
      <c r="C15" s="122">
        <f>IFERROR(SUM(C9:C14),"")</f>
        <v>0</v>
      </c>
      <c r="D15" s="116"/>
      <c r="E15" s="116"/>
      <c r="F15" s="116"/>
    </row>
    <row r="16" ht="20" customHeight="1" spans="1:6">
      <c r="A16" s="87" t="s">
        <v>24</v>
      </c>
      <c r="B16" s="123"/>
      <c r="C16" s="123"/>
      <c r="D16" s="100" t="s">
        <v>25</v>
      </c>
      <c r="E16" s="101"/>
      <c r="F16" s="101"/>
    </row>
    <row r="17" ht="20" customHeight="1" spans="1:6">
      <c r="A17" s="124" t="s">
        <v>26</v>
      </c>
      <c r="B17" s="125">
        <v>0</v>
      </c>
      <c r="C17" s="126" t="e">
        <f>B9/B$20</f>
        <v>#DIV/0!</v>
      </c>
      <c r="D17" s="105" t="s">
        <v>27</v>
      </c>
      <c r="E17" s="106">
        <v>0</v>
      </c>
      <c r="F17" s="127" t="s">
        <v>28</v>
      </c>
    </row>
    <row r="18" ht="20" customHeight="1" spans="1:6">
      <c r="A18" s="124" t="s">
        <v>29</v>
      </c>
      <c r="B18" s="125">
        <v>0</v>
      </c>
      <c r="C18" s="126" t="e">
        <f>B10/B$20</f>
        <v>#DIV/0!</v>
      </c>
      <c r="D18" s="105" t="s">
        <v>30</v>
      </c>
      <c r="E18" s="106">
        <v>0</v>
      </c>
      <c r="F18" s="107"/>
    </row>
    <row r="19" ht="20" customHeight="1" spans="1:6">
      <c r="A19" s="124" t="s">
        <v>31</v>
      </c>
      <c r="B19" s="125">
        <v>0</v>
      </c>
      <c r="C19" s="126" t="e">
        <f>B11/B$20</f>
        <v>#DIV/0!</v>
      </c>
      <c r="D19" s="105" t="s">
        <v>32</v>
      </c>
      <c r="E19" s="106">
        <v>0</v>
      </c>
      <c r="F19" s="107"/>
    </row>
    <row r="20" ht="20" customHeight="1" spans="1:6">
      <c r="A20" s="124" t="s">
        <v>33</v>
      </c>
      <c r="B20" s="125">
        <v>0</v>
      </c>
      <c r="C20" s="126" t="e">
        <f>B12/B$20</f>
        <v>#DIV/0!</v>
      </c>
      <c r="D20" s="108" t="s">
        <v>34</v>
      </c>
      <c r="E20" s="109">
        <f>SUM(E9:E11)</f>
        <v>0</v>
      </c>
      <c r="F20" s="108"/>
    </row>
    <row r="21" ht="20" customHeight="1" spans="1:6">
      <c r="A21" s="128" t="s">
        <v>35</v>
      </c>
      <c r="B21" s="71"/>
      <c r="C21" s="129">
        <f>SUM(C9:C12)</f>
        <v>0</v>
      </c>
      <c r="D21" s="113"/>
      <c r="E21" s="71"/>
      <c r="F21" s="113"/>
    </row>
    <row r="22" ht="20" customHeight="1" spans="1:6">
      <c r="A22" s="88" t="s">
        <v>36</v>
      </c>
      <c r="B22" s="130"/>
      <c r="C22" s="130"/>
      <c r="D22" s="113"/>
      <c r="E22" s="113"/>
      <c r="F22" s="113"/>
    </row>
    <row r="23" ht="20" customHeight="1" spans="1:6">
      <c r="A23" s="131" t="s">
        <v>37</v>
      </c>
      <c r="B23" s="4"/>
      <c r="C23" s="4"/>
      <c r="D23" s="4"/>
      <c r="E23" s="4"/>
      <c r="F23" s="71"/>
    </row>
    <row r="24" ht="20" customHeight="1" spans="1:6">
      <c r="A24" s="131" t="s">
        <v>38</v>
      </c>
      <c r="B24" s="132">
        <v>0</v>
      </c>
      <c r="C24" s="133" t="e">
        <f>B16/B$20</f>
        <v>#DIV/0!</v>
      </c>
      <c r="D24" s="113"/>
      <c r="E24" s="113"/>
      <c r="F24" s="113"/>
    </row>
    <row r="25" ht="20" customHeight="1" spans="1:6">
      <c r="A25" s="134" t="s">
        <v>39</v>
      </c>
      <c r="B25" s="135">
        <f>SUM(B15:B16)</f>
        <v>0</v>
      </c>
      <c r="C25" s="136">
        <f>SUM(C15:C16)</f>
        <v>0</v>
      </c>
      <c r="D25" s="113"/>
      <c r="E25" s="113"/>
      <c r="F25" s="113"/>
    </row>
    <row r="26" ht="20" customHeight="1" spans="1:6">
      <c r="D26" s="113"/>
      <c r="E26" s="113"/>
      <c r="F26" s="113"/>
    </row>
    <row r="27" ht="20" customHeight="1" spans="1:6">
      <c r="D27" s="113"/>
      <c r="E27" s="113"/>
      <c r="F27" s="113"/>
    </row>
    <row r="28" ht="20" customHeight="1" spans="1:6">
      <c r="A28" s="137" t="s">
        <v>40</v>
      </c>
      <c r="B28" s="138">
        <f>SUM(B7,B15,B21,B25)</f>
        <v>0</v>
      </c>
      <c r="C28" s="139" t="e">
        <f>C7+C15+C21+C25</f>
        <v>#DIV/0!</v>
      </c>
      <c r="D28" s="140" t="s">
        <v>41</v>
      </c>
      <c r="E28" s="141">
        <f>SUM(E6,E12)</f>
        <v>0</v>
      </c>
      <c r="F28" s="140"/>
    </row>
    <row r="29" ht="20" customHeight="1" spans="1:6">
      <c r="A29" s="142" t="s">
        <v>42</v>
      </c>
      <c r="B29" s="143"/>
      <c r="C29" s="144"/>
      <c r="D29" s="145">
        <f>B28-E28</f>
        <v>0</v>
      </c>
      <c r="E29" s="143"/>
      <c r="F29" s="144"/>
    </row>
    <row r="30" ht="20" customHeight="1"/>
    <row r="31" ht="20" customHeight="1" spans="1:6">
      <c r="A31" s="146" t="s">
        <v>43</v>
      </c>
    </row>
    <row r="32" ht="20" customHeight="1" spans="1:6">
      <c r="A32" s="147" t="s">
        <v>44</v>
      </c>
      <c r="B32" s="147" t="s">
        <v>3</v>
      </c>
      <c r="C32" s="147" t="s">
        <v>45</v>
      </c>
      <c r="D32" s="147" t="s">
        <v>46</v>
      </c>
      <c r="E32" s="147" t="s">
        <v>47</v>
      </c>
      <c r="F32" s="147" t="s">
        <v>48</v>
      </c>
    </row>
    <row r="33" ht="20" customHeight="1" spans="1:6">
      <c r="A33" s="102" t="s">
        <v>49</v>
      </c>
      <c r="B33" s="148">
        <f>B7</f>
        <v>0</v>
      </c>
      <c r="C33" s="149" t="e">
        <f>B7/B20</f>
        <v>#DIV/0!</v>
      </c>
      <c r="D33" s="150" t="s">
        <v>50</v>
      </c>
      <c r="E33" s="151" t="s">
        <v>51</v>
      </c>
      <c r="F33" s="152" t="s">
        <v>52</v>
      </c>
    </row>
    <row r="34" ht="20" customHeight="1" spans="1:6">
      <c r="A34" s="117" t="s">
        <v>53</v>
      </c>
      <c r="B34" s="153">
        <f>B15</f>
        <v>0</v>
      </c>
      <c r="C34" s="154" t="e">
        <f>B15/B28</f>
        <v>#DIV/0!</v>
      </c>
      <c r="D34" s="155" t="s">
        <v>54</v>
      </c>
      <c r="E34" s="156" t="s">
        <v>55</v>
      </c>
      <c r="F34" s="157" t="s">
        <v>56</v>
      </c>
    </row>
    <row r="35" ht="20" customHeight="1" spans="1:6">
      <c r="A35" s="124" t="s">
        <v>57</v>
      </c>
      <c r="B35" s="158">
        <f>B21</f>
        <v>0</v>
      </c>
      <c r="C35" s="159" t="e">
        <f>B21/B28</f>
        <v>#DIV/0!</v>
      </c>
      <c r="D35" s="160" t="s">
        <v>58</v>
      </c>
      <c r="E35" s="161" t="s">
        <v>59</v>
      </c>
      <c r="F35" s="162" t="s">
        <v>60</v>
      </c>
    </row>
    <row r="36" ht="20" customHeight="1" spans="1:6">
      <c r="A36" s="131" t="s">
        <v>61</v>
      </c>
      <c r="B36" s="163">
        <f>B25</f>
        <v>0</v>
      </c>
      <c r="C36" s="164" t="e">
        <f>B25/B28</f>
        <v>#DIV/0!</v>
      </c>
      <c r="D36" s="165" t="s">
        <v>62</v>
      </c>
      <c r="E36" s="166" t="s">
        <v>63</v>
      </c>
      <c r="F36" s="167" t="s">
        <v>64</v>
      </c>
    </row>
    <row r="37" ht="20" customHeight="1" spans="1:6">
      <c r="A37" s="80" t="s">
        <v>65</v>
      </c>
      <c r="B37" s="168">
        <f>B28</f>
        <v>0</v>
      </c>
      <c r="C37" s="169" t="e">
        <f>SUM(C33:C36)</f>
        <v>#DIV/0!</v>
      </c>
      <c r="D37" s="81"/>
      <c r="E37" s="81"/>
      <c r="F37" s="81"/>
    </row>
  </sheetData>
  <mergeCells count="5">
    <mergeCell ref="A1:C1"/>
    <mergeCell ref="D1:F1"/>
    <mergeCell ref="A21:B21"/>
    <mergeCell ref="D21:E21"/>
    <mergeCell ref="A23:F2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tabSelected="1" topLeftCell="A10" workbookViewId="0">
      <selection activeCell="C14" sqref="C14"/>
    </sheetView>
  </sheetViews>
  <sheetFormatPr defaultColWidth="9" defaultRowHeight="16.8" outlineLevelCol="3"/>
  <cols>
    <col min="1" max="1" width="26" customWidth="1"/>
    <col min="2" max="3" width="14" customWidth="1"/>
    <col min="4" max="4" width="22" customWidth="1"/>
  </cols>
  <sheetData>
    <row r="1" ht="28" customHeight="1" spans="1:4">
      <c r="A1" s="41" t="s">
        <v>66</v>
      </c>
      <c r="C1" s="42" t="s">
        <v>67</v>
      </c>
    </row>
    <row r="2" ht="20" customHeight="1" spans="1:4">
      <c r="A2" s="2" t="s">
        <v>68</v>
      </c>
      <c r="B2" s="4"/>
      <c r="C2" s="4"/>
      <c r="D2" s="71"/>
    </row>
    <row r="3" ht="20" customHeight="1" spans="1:4">
      <c r="A3" s="72" t="s">
        <v>69</v>
      </c>
      <c r="B3" s="73"/>
      <c r="C3" s="73"/>
      <c r="D3" s="74"/>
    </row>
    <row r="4" ht="20" customHeight="1" spans="1:4">
      <c r="A4" s="75" t="s">
        <v>70</v>
      </c>
      <c r="B4" s="76">
        <f>C3/3</f>
        <v>0</v>
      </c>
      <c r="C4" s="77">
        <v>0</v>
      </c>
      <c r="D4" s="78" t="s">
        <v>71</v>
      </c>
    </row>
    <row r="5" ht="20" customHeight="1" spans="1:4">
      <c r="A5" s="75" t="s">
        <v>72</v>
      </c>
      <c r="B5" s="4"/>
      <c r="C5" s="4"/>
      <c r="D5" s="71"/>
    </row>
    <row r="6" ht="20" customHeight="1" spans="1:4">
      <c r="A6" s="72" t="s">
        <v>73</v>
      </c>
      <c r="B6" s="73"/>
      <c r="C6" s="73"/>
      <c r="D6" s="74"/>
    </row>
    <row r="7" ht="20" customHeight="1" spans="1:4">
      <c r="A7" s="75" t="s">
        <v>74</v>
      </c>
      <c r="B7" s="76">
        <v>0</v>
      </c>
      <c r="C7" s="79">
        <f>B6*3</f>
        <v>0</v>
      </c>
      <c r="D7" s="78" t="s">
        <v>75</v>
      </c>
    </row>
    <row r="8" ht="20" customHeight="1" spans="1:4">
      <c r="A8" s="75" t="s">
        <v>76</v>
      </c>
      <c r="B8" s="79">
        <v>0</v>
      </c>
      <c r="C8" s="79">
        <v>0</v>
      </c>
      <c r="D8" s="78" t="s">
        <v>77</v>
      </c>
    </row>
    <row r="9" ht="20" customHeight="1" spans="1:4">
      <c r="A9" s="80" t="s">
        <v>78</v>
      </c>
      <c r="B9" s="81">
        <f>SUM(B3:B7)</f>
        <v>0</v>
      </c>
      <c r="C9" s="81">
        <f>SUM(C3:C7)</f>
        <v>0</v>
      </c>
      <c r="D9" s="80"/>
    </row>
    <row r="10" ht="20" customHeight="1"/>
    <row r="11" ht="20" customHeight="1" spans="1:4">
      <c r="A11" s="2" t="s">
        <v>79</v>
      </c>
      <c r="B11" s="4"/>
      <c r="C11" s="4"/>
      <c r="D11" s="71"/>
    </row>
    <row r="12" ht="20" customHeight="1" spans="1:4">
      <c r="A12" s="72" t="s">
        <v>80</v>
      </c>
      <c r="B12" s="73"/>
      <c r="C12" s="73"/>
      <c r="D12" s="74"/>
    </row>
    <row r="13" ht="20" customHeight="1" spans="1:4">
      <c r="A13" s="75" t="s">
        <v>81</v>
      </c>
      <c r="B13" s="82">
        <f>C12/3</f>
        <v>0</v>
      </c>
      <c r="C13" s="82">
        <v>0</v>
      </c>
      <c r="D13" s="83" t="s">
        <v>82</v>
      </c>
    </row>
    <row r="14" ht="20" customHeight="1" spans="1:4">
      <c r="A14" s="75" t="s">
        <v>83</v>
      </c>
      <c r="B14" s="84"/>
      <c r="C14" s="85">
        <f>IFERROR(B13*3,"")</f>
        <v>0</v>
      </c>
      <c r="D14" s="83" t="s">
        <v>84</v>
      </c>
    </row>
    <row r="15" ht="20" customHeight="1" spans="1:4">
      <c r="A15" s="75" t="s">
        <v>85</v>
      </c>
      <c r="B15" s="86"/>
      <c r="C15" s="86">
        <f>IFERROR(B14*3,"")</f>
        <v>0</v>
      </c>
      <c r="D15" s="78" t="s">
        <v>86</v>
      </c>
    </row>
    <row r="16" ht="20" customHeight="1" spans="1:4">
      <c r="A16" s="75" t="s">
        <v>87</v>
      </c>
      <c r="B16" s="4"/>
      <c r="C16" s="4"/>
      <c r="D16" s="71"/>
    </row>
    <row r="17" ht="20" customHeight="1" spans="1:4">
      <c r="A17" s="87" t="s">
        <v>88</v>
      </c>
      <c r="B17" s="73"/>
      <c r="C17" s="73"/>
      <c r="D17" s="74"/>
    </row>
    <row r="18" ht="20" customHeight="1" spans="1:4">
      <c r="A18" s="75" t="s">
        <v>89</v>
      </c>
      <c r="B18" s="86"/>
      <c r="C18" s="86">
        <f>IFERROR(B17*3,"")</f>
        <v>0</v>
      </c>
      <c r="D18" s="78" t="s">
        <v>90</v>
      </c>
    </row>
    <row r="19" ht="20" customHeight="1" spans="1:4">
      <c r="A19" s="75" t="s">
        <v>91</v>
      </c>
      <c r="B19" s="86"/>
      <c r="C19" s="86">
        <f>IFERROR(B18*3,"")</f>
        <v>0</v>
      </c>
      <c r="D19" s="78" t="s">
        <v>92</v>
      </c>
    </row>
    <row r="20" ht="20" customHeight="1" spans="1:4">
      <c r="A20" s="75" t="s">
        <v>93</v>
      </c>
      <c r="B20" s="86"/>
      <c r="C20" s="86">
        <f>IFERROR(B19*3,"")</f>
        <v>0</v>
      </c>
      <c r="D20" s="78" t="s">
        <v>94</v>
      </c>
    </row>
    <row r="21" ht="20" customHeight="1" spans="1:4">
      <c r="A21" s="75" t="s">
        <v>95</v>
      </c>
      <c r="B21" s="4"/>
      <c r="C21" s="4"/>
      <c r="D21" s="71"/>
    </row>
    <row r="22" ht="20" customHeight="1" spans="1:4">
      <c r="A22" s="88" t="s">
        <v>96</v>
      </c>
      <c r="B22" s="73"/>
      <c r="C22" s="73"/>
      <c r="D22" s="74"/>
    </row>
    <row r="23" ht="20" customHeight="1" spans="1:4">
      <c r="A23" s="75" t="s">
        <v>97</v>
      </c>
      <c r="B23" s="86"/>
      <c r="C23" s="86">
        <f>IFERROR(B22*3,"")</f>
        <v>0</v>
      </c>
      <c r="D23" s="78" t="s">
        <v>98</v>
      </c>
    </row>
    <row r="24" ht="20" customHeight="1" spans="1:4">
      <c r="A24" s="75" t="s">
        <v>99</v>
      </c>
      <c r="B24" s="86"/>
      <c r="C24" s="86">
        <f>IFERROR(B23*3,"")</f>
        <v>0</v>
      </c>
      <c r="D24" s="78" t="s">
        <v>100</v>
      </c>
    </row>
    <row r="25" ht="20" customHeight="1" spans="1:4">
      <c r="A25" s="75" t="s">
        <v>101</v>
      </c>
      <c r="B25" s="86"/>
      <c r="C25" s="86">
        <f>IFERROR(B24*3,"")</f>
        <v>0</v>
      </c>
      <c r="D25" s="78" t="s">
        <v>102</v>
      </c>
    </row>
    <row r="26" ht="20" customHeight="1" spans="1:4">
      <c r="A26" s="75" t="s">
        <v>103</v>
      </c>
      <c r="B26" s="4"/>
      <c r="C26" s="4"/>
      <c r="D26" s="71"/>
    </row>
    <row r="27" ht="20" customHeight="1" spans="1:4">
      <c r="A27" s="89" t="s">
        <v>104</v>
      </c>
      <c r="B27" s="73"/>
      <c r="C27" s="73"/>
      <c r="D27" s="74"/>
    </row>
    <row r="28" ht="20" customHeight="1" spans="1:4">
      <c r="A28" s="75" t="s">
        <v>105</v>
      </c>
      <c r="B28" s="86"/>
      <c r="C28" s="86">
        <f>IFERROR(B27*3,"")</f>
        <v>0</v>
      </c>
      <c r="D28" s="78" t="s">
        <v>106</v>
      </c>
    </row>
    <row r="29" ht="20" customHeight="1" spans="1:4">
      <c r="A29" s="75" t="s">
        <v>107</v>
      </c>
      <c r="B29" s="86"/>
      <c r="C29" s="86">
        <f>IFERROR(B28*3,"")</f>
        <v>0</v>
      </c>
      <c r="D29" s="78" t="s">
        <v>108</v>
      </c>
    </row>
    <row r="30" ht="20" customHeight="1" spans="1:4">
      <c r="A30" s="75" t="s">
        <v>109</v>
      </c>
      <c r="B30" s="86"/>
      <c r="C30" s="86">
        <f>IFERROR(B29*3,"")</f>
        <v>0</v>
      </c>
      <c r="D30" s="78" t="s">
        <v>110</v>
      </c>
    </row>
    <row r="31" ht="20" customHeight="1" spans="1:4">
      <c r="A31" s="80" t="s">
        <v>111</v>
      </c>
      <c r="B31" s="81">
        <f>IFERROR(SUM(B12:B29),"")</f>
        <v>0</v>
      </c>
      <c r="C31" s="81">
        <f>IFERROR(SUM(C12:C29),"")</f>
        <v>0</v>
      </c>
      <c r="D31" s="80"/>
    </row>
    <row r="32" ht="20" customHeight="1"/>
    <row r="33" ht="20" customHeight="1" spans="1:4">
      <c r="A33" s="90" t="s">
        <v>112</v>
      </c>
      <c r="B33" s="91">
        <f>IFERROR(B8-B30,"")</f>
        <v>0</v>
      </c>
      <c r="C33" s="91">
        <f>IFERROR(C8-C30,"")</f>
        <v>0</v>
      </c>
      <c r="D33" s="92" t="s">
        <v>113</v>
      </c>
    </row>
    <row r="34" ht="20" customHeight="1" spans="1:4">
      <c r="A34" s="93" t="s">
        <v>114</v>
      </c>
      <c r="B34" s="94" t="str">
        <f>IFERROR(SUM(B22:B25)/B30,"")</f>
        <v/>
      </c>
      <c r="C34" s="94" t="str">
        <f>IFERROR(SUM(C22:C25)/C30,"")</f>
        <v/>
      </c>
      <c r="D34" s="95" t="s">
        <v>115</v>
      </c>
    </row>
  </sheetData>
  <mergeCells count="8">
    <mergeCell ref="A1:B1"/>
    <mergeCell ref="C1:D1"/>
    <mergeCell ref="A2:D2"/>
    <mergeCell ref="A5:D5"/>
    <mergeCell ref="A11:D11"/>
    <mergeCell ref="A16:D16"/>
    <mergeCell ref="A21:D21"/>
    <mergeCell ref="A26:D26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1"/>
  <sheetViews>
    <sheetView workbookViewId="0">
      <selection activeCell="B9" sqref="B9"/>
    </sheetView>
  </sheetViews>
  <sheetFormatPr defaultColWidth="9" defaultRowHeight="16.8" outlineLevelCol="7"/>
  <cols>
    <col min="1" max="1" width="12" customWidth="1"/>
    <col min="2" max="2" width="22" customWidth="1"/>
    <col min="3" max="3" width="14" customWidth="1"/>
    <col min="4" max="4" width="10" customWidth="1"/>
    <col min="5" max="5" width="8" customWidth="1"/>
    <col min="6" max="6" width="14" customWidth="1"/>
    <col min="7" max="7" width="16" customWidth="1"/>
    <col min="8" max="8" width="28" customWidth="1"/>
  </cols>
  <sheetData>
    <row r="1" ht="28" customHeight="1" spans="1:8">
      <c r="A1" s="41" t="s">
        <v>116</v>
      </c>
      <c r="E1" s="42" t="s">
        <v>67</v>
      </c>
    </row>
    <row r="2" ht="20" customHeight="1" spans="1:8">
      <c r="A2" s="2" t="s">
        <v>117</v>
      </c>
      <c r="B2" s="2" t="s">
        <v>118</v>
      </c>
      <c r="C2" s="2" t="s">
        <v>119</v>
      </c>
      <c r="D2" s="2" t="s">
        <v>120</v>
      </c>
      <c r="E2" s="2" t="s">
        <v>121</v>
      </c>
      <c r="F2" s="2" t="s">
        <v>122</v>
      </c>
      <c r="G2" s="43" t="s">
        <v>123</v>
      </c>
      <c r="H2" s="2" t="s">
        <v>124</v>
      </c>
    </row>
    <row r="3" ht="20" customHeight="1" spans="1:8">
      <c r="A3" s="44" t="s">
        <v>125</v>
      </c>
      <c r="B3" s="5" t="s">
        <v>126</v>
      </c>
      <c r="C3" s="45">
        <v>500000</v>
      </c>
      <c r="D3" s="9">
        <v>0</v>
      </c>
      <c r="E3" s="46" t="s">
        <v>127</v>
      </c>
      <c r="F3" s="47">
        <v>0.02</v>
      </c>
      <c r="G3" s="48">
        <v>300000</v>
      </c>
      <c r="H3" s="49" t="s">
        <v>128</v>
      </c>
    </row>
    <row r="4" ht="20" customHeight="1" spans="1:8">
      <c r="A4" s="44"/>
      <c r="B4" s="5" t="s">
        <v>129</v>
      </c>
      <c r="C4" s="45">
        <v>20000</v>
      </c>
      <c r="D4" s="6" t="s">
        <v>130</v>
      </c>
      <c r="E4" s="50" t="s">
        <v>131</v>
      </c>
      <c r="F4" s="47">
        <v>0.02</v>
      </c>
      <c r="G4" s="45">
        <v>20000</v>
      </c>
      <c r="H4" s="49" t="s">
        <v>132</v>
      </c>
    </row>
    <row r="5" ht="20" customHeight="1" spans="1:8">
      <c r="A5" s="51" t="s">
        <v>133</v>
      </c>
      <c r="B5" s="20" t="s">
        <v>134</v>
      </c>
      <c r="C5" s="52">
        <v>300000</v>
      </c>
      <c r="D5" s="53" t="s">
        <v>135</v>
      </c>
      <c r="E5" s="54" t="s">
        <v>50</v>
      </c>
      <c r="F5" s="55">
        <v>0.04</v>
      </c>
      <c r="G5" s="56">
        <f>ROUND(-PMT(F4,9,0,-C4),0)</f>
        <v>-2050</v>
      </c>
      <c r="H5" s="57" t="s">
        <v>136</v>
      </c>
    </row>
    <row r="6" ht="20" customHeight="1" spans="1:8">
      <c r="A6" s="51"/>
      <c r="B6" s="20" t="s">
        <v>137</v>
      </c>
      <c r="C6" s="52">
        <v>300000</v>
      </c>
      <c r="D6" s="53" t="s">
        <v>138</v>
      </c>
      <c r="E6" s="54" t="s">
        <v>50</v>
      </c>
      <c r="F6" s="55">
        <v>0.04</v>
      </c>
      <c r="G6" s="56">
        <f>ROUND(-PMT(F5,15,0,-C5),0)</f>
        <v>-14982</v>
      </c>
      <c r="H6" s="57" t="s">
        <v>139</v>
      </c>
    </row>
    <row r="7" ht="20" customHeight="1" spans="1:8">
      <c r="A7" s="51"/>
      <c r="B7" s="20" t="s">
        <v>140</v>
      </c>
      <c r="C7" s="52">
        <v>300000</v>
      </c>
      <c r="D7" s="53" t="s">
        <v>141</v>
      </c>
      <c r="E7" s="58" t="s">
        <v>131</v>
      </c>
      <c r="F7" s="55">
        <v>0.04</v>
      </c>
      <c r="G7" s="56">
        <f>ROUND(-PMT(F6,10,0,-C6),0)</f>
        <v>-24987</v>
      </c>
      <c r="H7" s="59" t="s">
        <v>142</v>
      </c>
    </row>
    <row r="8" ht="20" customHeight="1" spans="1:8">
      <c r="A8" s="60" t="s">
        <v>143</v>
      </c>
      <c r="B8" s="26" t="s">
        <v>144</v>
      </c>
      <c r="C8" s="61">
        <v>5000000</v>
      </c>
      <c r="D8" s="62" t="s">
        <v>145</v>
      </c>
      <c r="E8" s="63" t="s">
        <v>50</v>
      </c>
      <c r="F8" s="64">
        <v>0.05</v>
      </c>
      <c r="G8" s="65">
        <f>ROUND(-PMT(F7,20,0,-C7),0)</f>
        <v>-10075</v>
      </c>
      <c r="H8" s="66" t="s">
        <v>146</v>
      </c>
    </row>
    <row r="9" ht="20" customHeight="1" spans="1:8">
      <c r="A9" s="60"/>
      <c r="B9" s="26" t="s">
        <v>147</v>
      </c>
      <c r="C9" s="61">
        <v>500000</v>
      </c>
      <c r="D9" s="27" t="s">
        <v>148</v>
      </c>
      <c r="E9" s="63" t="s">
        <v>50</v>
      </c>
      <c r="F9" s="64">
        <v>0.03</v>
      </c>
      <c r="G9" s="65">
        <f>ROUND(-PMT(F8,10,0,-C8),0)</f>
        <v>-397523</v>
      </c>
      <c r="H9" s="66" t="s">
        <v>149</v>
      </c>
    </row>
    <row r="10" ht="20" customHeight="1" spans="1:8">
      <c r="A10" s="67" t="s">
        <v>150</v>
      </c>
      <c r="B10" s="38"/>
      <c r="C10" s="38"/>
      <c r="D10" s="38"/>
      <c r="E10" s="68"/>
      <c r="F10" s="38"/>
      <c r="G10" s="39">
        <f>SUM(G2:G8)</f>
        <v>267906</v>
      </c>
      <c r="H10" s="69" t="s">
        <v>151</v>
      </c>
    </row>
    <row r="11" ht="20" customHeight="1" spans="1:8">
      <c r="E11" s="70"/>
    </row>
    <row r="12" ht="20" customHeight="1" spans="1:8">
      <c r="E12" s="70"/>
    </row>
    <row r="13" ht="20" customHeight="1" spans="1:8">
      <c r="E13" s="70"/>
    </row>
    <row r="14" ht="20" customHeight="1" spans="1:8">
      <c r="E14" s="70"/>
    </row>
    <row r="15" ht="20" customHeight="1" spans="1:8">
      <c r="E15" s="70"/>
    </row>
    <row r="16" ht="20" customHeight="1" spans="1:8">
      <c r="E16" s="70"/>
    </row>
    <row r="17" ht="20" customHeight="1" spans="5:5">
      <c r="E17" s="70"/>
    </row>
    <row r="18" ht="20" customHeight="1" spans="5:5">
      <c r="E18" s="70"/>
    </row>
    <row r="19" ht="20" customHeight="1" spans="5:5">
      <c r="E19" s="70"/>
    </row>
    <row r="20" ht="20" customHeight="1" spans="5:5">
      <c r="E20" s="70"/>
    </row>
    <row r="21" ht="20" customHeight="1" spans="5:5">
      <c r="E21" s="70"/>
    </row>
    <row r="22" ht="20" customHeight="1" spans="5:5">
      <c r="E22" s="70"/>
    </row>
    <row r="23" ht="20" customHeight="1" spans="5:5">
      <c r="E23" s="70"/>
    </row>
    <row r="24" ht="20" customHeight="1" spans="5:5">
      <c r="E24" s="70"/>
    </row>
    <row r="25" ht="20" customHeight="1" spans="5:5">
      <c r="E25" s="70"/>
    </row>
    <row r="26" ht="20" customHeight="1" spans="5:5">
      <c r="E26" s="70"/>
    </row>
    <row r="27" ht="20" customHeight="1" spans="5:5">
      <c r="E27" s="70"/>
    </row>
    <row r="28" ht="20" customHeight="1" spans="5:5">
      <c r="E28" s="70"/>
    </row>
    <row r="29" ht="20" customHeight="1" spans="5:5">
      <c r="E29" s="70"/>
    </row>
    <row r="30" ht="20" customHeight="1" spans="5:5">
      <c r="E30" s="70"/>
    </row>
    <row r="31" ht="20" customHeight="1" spans="5:5">
      <c r="E31" s="70"/>
    </row>
    <row r="32" ht="20" customHeight="1" spans="5:5">
      <c r="E32" s="70"/>
    </row>
    <row r="33" ht="20" customHeight="1" spans="5:5">
      <c r="E33" s="70"/>
    </row>
    <row r="34" ht="20" customHeight="1" spans="5:5">
      <c r="E34" s="70"/>
    </row>
    <row r="35" ht="20" customHeight="1" spans="5:5">
      <c r="E35" s="70"/>
    </row>
    <row r="36" ht="20" customHeight="1" spans="5:5">
      <c r="E36" s="70"/>
    </row>
    <row r="37" ht="20" customHeight="1" spans="5:5">
      <c r="E37" s="70"/>
    </row>
    <row r="38" ht="20" customHeight="1" spans="5:5">
      <c r="E38" s="70"/>
    </row>
    <row r="39" ht="20" customHeight="1" spans="5:5">
      <c r="E39" s="70"/>
    </row>
    <row r="40" ht="20" customHeight="1" spans="5:5">
      <c r="E40" s="70"/>
    </row>
    <row r="41" ht="20" customHeight="1" spans="5:5">
      <c r="E41" s="70"/>
    </row>
    <row r="42" ht="20" customHeight="1" spans="5:5">
      <c r="E42" s="70"/>
    </row>
    <row r="43" ht="20" customHeight="1" spans="5:5">
      <c r="E43" s="70"/>
    </row>
    <row r="44" ht="20" customHeight="1" spans="5:5">
      <c r="E44" s="70"/>
    </row>
    <row r="45" ht="20" customHeight="1" spans="5:5">
      <c r="E45" s="70"/>
    </row>
    <row r="46" ht="20" customHeight="1" spans="5:5">
      <c r="E46" s="70"/>
    </row>
    <row r="47" ht="20" customHeight="1" spans="5:5">
      <c r="E47" s="70"/>
    </row>
    <row r="48" ht="20" customHeight="1" spans="5:5">
      <c r="E48" s="70"/>
    </row>
    <row r="49" ht="20" customHeight="1" spans="5:5">
      <c r="E49" s="70"/>
    </row>
    <row r="50" ht="20" customHeight="1" spans="5:5">
      <c r="E50" s="70"/>
    </row>
    <row r="51" ht="20" customHeight="1" spans="5:5">
      <c r="E51" s="70"/>
    </row>
    <row r="52" ht="20" customHeight="1" spans="5:5">
      <c r="E52" s="70"/>
    </row>
    <row r="53" ht="20" customHeight="1" spans="5:5">
      <c r="E53" s="70"/>
    </row>
    <row r="54" ht="20" customHeight="1" spans="5:5">
      <c r="E54" s="70"/>
    </row>
    <row r="55" ht="20" customHeight="1" spans="5:5">
      <c r="E55" s="70"/>
    </row>
    <row r="56" ht="20" customHeight="1" spans="5:5">
      <c r="E56" s="70"/>
    </row>
    <row r="57" ht="20" customHeight="1" spans="5:5">
      <c r="E57" s="70"/>
    </row>
    <row r="58" ht="20" customHeight="1" spans="5:5">
      <c r="E58" s="70"/>
    </row>
    <row r="59" ht="20" customHeight="1" spans="5:5">
      <c r="E59" s="70"/>
    </row>
    <row r="60" ht="20" customHeight="1" spans="5:5">
      <c r="E60" s="70"/>
    </row>
    <row r="61" ht="20" customHeight="1" spans="5:5">
      <c r="E61" s="70"/>
    </row>
    <row r="62" ht="20" customHeight="1" spans="5:5">
      <c r="E62" s="70"/>
    </row>
    <row r="63" ht="20" customHeight="1" spans="5:5">
      <c r="E63" s="70"/>
    </row>
    <row r="64" ht="20" customHeight="1" spans="5:5">
      <c r="E64" s="70"/>
    </row>
    <row r="65" ht="20" customHeight="1" spans="5:5">
      <c r="E65" s="70"/>
    </row>
    <row r="66" ht="20" customHeight="1" spans="5:5">
      <c r="E66" s="70"/>
    </row>
    <row r="67" ht="20" customHeight="1" spans="5:5">
      <c r="E67" s="70"/>
    </row>
    <row r="68" ht="20" customHeight="1" spans="5:5">
      <c r="E68" s="70"/>
    </row>
    <row r="69" ht="20" customHeight="1" spans="5:5">
      <c r="E69" s="70"/>
    </row>
    <row r="70" ht="20" customHeight="1" spans="5:5">
      <c r="E70" s="70"/>
    </row>
    <row r="71" ht="20" customHeight="1" spans="5:5">
      <c r="E71" s="70"/>
    </row>
    <row r="72" ht="20" customHeight="1" spans="5:5">
      <c r="E72" s="70"/>
    </row>
    <row r="73" ht="20" customHeight="1" spans="5:5">
      <c r="E73" s="70"/>
    </row>
    <row r="74" ht="20" customHeight="1" spans="5:5">
      <c r="E74" s="70"/>
    </row>
    <row r="75" ht="20" customHeight="1" spans="5:5">
      <c r="E75" s="70"/>
    </row>
    <row r="76" ht="20" customHeight="1" spans="5:5">
      <c r="E76" s="70"/>
    </row>
    <row r="77" ht="20" customHeight="1" spans="5:5">
      <c r="E77" s="70"/>
    </row>
    <row r="78" ht="20" customHeight="1" spans="5:5">
      <c r="E78" s="70"/>
    </row>
    <row r="79" ht="20" customHeight="1" spans="5:5">
      <c r="E79" s="70"/>
    </row>
    <row r="80" ht="20" customHeight="1" spans="5:5">
      <c r="E80" s="70"/>
    </row>
    <row r="81" ht="20" customHeight="1" spans="5:5">
      <c r="E81" s="70"/>
    </row>
    <row r="82" ht="20" customHeight="1" spans="5:5">
      <c r="E82" s="70"/>
    </row>
    <row r="83" ht="20" customHeight="1" spans="5:5">
      <c r="E83" s="70"/>
    </row>
    <row r="84" ht="20" customHeight="1" spans="5:5">
      <c r="E84" s="70"/>
    </row>
    <row r="85" ht="20" customHeight="1" spans="5:5">
      <c r="E85" s="70"/>
    </row>
    <row r="86" ht="20" customHeight="1" spans="5:5">
      <c r="E86" s="70"/>
    </row>
    <row r="87" ht="20" customHeight="1" spans="5:5">
      <c r="E87" s="70"/>
    </row>
    <row r="88" ht="20" customHeight="1" spans="5:5">
      <c r="E88" s="70"/>
    </row>
    <row r="89" ht="20" customHeight="1" spans="5:5">
      <c r="E89" s="70"/>
    </row>
    <row r="90" ht="20" customHeight="1" spans="5:5">
      <c r="E90" s="70"/>
    </row>
    <row r="91" ht="20" customHeight="1" spans="5:5">
      <c r="E91" s="70"/>
    </row>
    <row r="92" ht="20" customHeight="1" spans="5:5">
      <c r="E92" s="70"/>
    </row>
    <row r="93" ht="20" customHeight="1" spans="5:5">
      <c r="E93" s="70"/>
    </row>
    <row r="94" ht="20" customHeight="1" spans="5:5">
      <c r="E94" s="70"/>
    </row>
    <row r="95" ht="20" customHeight="1" spans="5:5">
      <c r="E95" s="70"/>
    </row>
    <row r="96" ht="20" customHeight="1" spans="5:5">
      <c r="E96" s="70"/>
    </row>
    <row r="97" ht="20" customHeight="1" spans="5:5">
      <c r="E97" s="70"/>
    </row>
    <row r="98" ht="20" customHeight="1" spans="5:5">
      <c r="E98" s="70"/>
    </row>
    <row r="99" ht="20" customHeight="1" spans="5:5">
      <c r="E99" s="70"/>
    </row>
    <row r="100" ht="20" customHeight="1" spans="5:5">
      <c r="E100" s="70"/>
    </row>
    <row r="101" ht="20" customHeight="1" spans="5:5">
      <c r="E101" s="70"/>
    </row>
    <row r="102" ht="20" customHeight="1" spans="5:5">
      <c r="E102" s="70"/>
    </row>
    <row r="103" ht="20" customHeight="1" spans="5:5">
      <c r="E103" s="70"/>
    </row>
    <row r="104" ht="20" customHeight="1" spans="5:5">
      <c r="E104" s="70"/>
    </row>
    <row r="105" ht="20" customHeight="1" spans="5:5">
      <c r="E105" s="70"/>
    </row>
    <row r="106" ht="20" customHeight="1" spans="5:5">
      <c r="E106" s="70"/>
    </row>
    <row r="107" ht="20" customHeight="1" spans="5:5">
      <c r="E107" s="70"/>
    </row>
    <row r="108" ht="20" customHeight="1" spans="5:5">
      <c r="E108" s="70"/>
    </row>
    <row r="109" ht="20" customHeight="1" spans="5:5">
      <c r="E109" s="70"/>
    </row>
    <row r="110" ht="20" customHeight="1" spans="5:5">
      <c r="E110" s="70"/>
    </row>
    <row r="111" ht="20" customHeight="1" spans="5:5">
      <c r="E111" s="70"/>
    </row>
    <row r="112" ht="20" customHeight="1" spans="5:5">
      <c r="E112" s="70"/>
    </row>
    <row r="113" ht="20" customHeight="1" spans="5:5">
      <c r="E113" s="70"/>
    </row>
    <row r="114" ht="20" customHeight="1" spans="5:5">
      <c r="E114" s="70"/>
    </row>
    <row r="115" ht="20" customHeight="1" spans="5:5">
      <c r="E115" s="70"/>
    </row>
    <row r="116" ht="20" customHeight="1" spans="5:5">
      <c r="E116" s="70"/>
    </row>
    <row r="117" ht="20" customHeight="1" spans="5:5">
      <c r="E117" s="70"/>
    </row>
    <row r="118" ht="20" customHeight="1" spans="5:5">
      <c r="E118" s="70"/>
    </row>
    <row r="119" ht="20" customHeight="1" spans="5:5">
      <c r="E119" s="70"/>
    </row>
    <row r="120" ht="20" customHeight="1" spans="5:5">
      <c r="E120" s="70"/>
    </row>
    <row r="121" ht="20" customHeight="1" spans="5:5">
      <c r="E121" s="70"/>
    </row>
    <row r="122" ht="20" customHeight="1" spans="5:5">
      <c r="E122" s="70"/>
    </row>
    <row r="123" ht="20" customHeight="1" spans="5:5">
      <c r="E123" s="70"/>
    </row>
    <row r="124" ht="20" customHeight="1" spans="5:5">
      <c r="E124" s="70"/>
    </row>
    <row r="125" ht="20" customHeight="1" spans="5:5">
      <c r="E125" s="70"/>
    </row>
    <row r="126" ht="20" customHeight="1" spans="5:5">
      <c r="E126" s="70"/>
    </row>
    <row r="127" ht="20" customHeight="1" spans="5:5">
      <c r="E127" s="70"/>
    </row>
    <row r="128" ht="20" customHeight="1" spans="5:5">
      <c r="E128" s="70"/>
    </row>
    <row r="129" ht="20" customHeight="1" spans="5:5">
      <c r="E129" s="70"/>
    </row>
    <row r="130" ht="20" customHeight="1" spans="5:5">
      <c r="E130" s="70"/>
    </row>
    <row r="131" ht="20" customHeight="1" spans="5:5">
      <c r="E131" s="70"/>
    </row>
    <row r="132" ht="20" customHeight="1" spans="5:5">
      <c r="E132" s="70"/>
    </row>
    <row r="133" ht="20" customHeight="1" spans="5:5">
      <c r="E133" s="70"/>
    </row>
    <row r="134" ht="20" customHeight="1" spans="5:5">
      <c r="E134" s="70"/>
    </row>
    <row r="135" ht="20" customHeight="1" spans="5:5">
      <c r="E135" s="70"/>
    </row>
    <row r="136" ht="20" customHeight="1" spans="5:5">
      <c r="E136" s="70"/>
    </row>
    <row r="137" ht="20" customHeight="1" spans="5:5">
      <c r="E137" s="70"/>
    </row>
    <row r="138" ht="20" customHeight="1" spans="5:5">
      <c r="E138" s="70"/>
    </row>
    <row r="139" ht="20" customHeight="1" spans="5:5">
      <c r="E139" s="70"/>
    </row>
    <row r="140" ht="20" customHeight="1" spans="5:5">
      <c r="E140" s="70"/>
    </row>
    <row r="141" ht="20" customHeight="1" spans="5:5">
      <c r="E141" s="70"/>
    </row>
    <row r="142" ht="20" customHeight="1" spans="5:5">
      <c r="E142" s="70"/>
    </row>
    <row r="143" ht="20" customHeight="1" spans="5:5">
      <c r="E143" s="70"/>
    </row>
    <row r="144" ht="20" customHeight="1" spans="5:5">
      <c r="E144" s="70"/>
    </row>
    <row r="145" ht="20" customHeight="1" spans="5:5">
      <c r="E145" s="70"/>
    </row>
    <row r="146" ht="20" customHeight="1" spans="5:5">
      <c r="E146" s="70"/>
    </row>
    <row r="147" ht="20" customHeight="1" spans="5:5">
      <c r="E147" s="70"/>
    </row>
    <row r="148" ht="20" customHeight="1" spans="5:5">
      <c r="E148" s="70"/>
    </row>
    <row r="149" ht="20" customHeight="1" spans="5:5">
      <c r="E149" s="70"/>
    </row>
    <row r="150" ht="20" customHeight="1" spans="5:5">
      <c r="E150" s="70"/>
    </row>
    <row r="151" ht="20" customHeight="1" spans="5:5">
      <c r="E151" s="70"/>
    </row>
    <row r="152" ht="20" customHeight="1" spans="5:5">
      <c r="E152" s="70"/>
    </row>
    <row r="153" ht="20" customHeight="1" spans="5:5">
      <c r="E153" s="70"/>
    </row>
    <row r="154" ht="20" customHeight="1" spans="5:5">
      <c r="E154" s="70"/>
    </row>
    <row r="155" ht="20" customHeight="1" spans="5:5">
      <c r="E155" s="70"/>
    </row>
    <row r="156" ht="20" customHeight="1" spans="5:5">
      <c r="E156" s="70"/>
    </row>
    <row r="157" ht="20" customHeight="1" spans="5:5">
      <c r="E157" s="70"/>
    </row>
    <row r="158" ht="20" customHeight="1" spans="5:5">
      <c r="E158" s="70"/>
    </row>
    <row r="159" ht="20" customHeight="1" spans="5:5">
      <c r="E159" s="70"/>
    </row>
    <row r="160" ht="20" customHeight="1" spans="5:5">
      <c r="E160" s="70"/>
    </row>
    <row r="161" ht="20" customHeight="1" spans="5:5">
      <c r="E161" s="70"/>
    </row>
    <row r="162" ht="20" customHeight="1" spans="5:5">
      <c r="E162" s="70"/>
    </row>
    <row r="163" ht="20" customHeight="1" spans="5:5">
      <c r="E163" s="70"/>
    </row>
    <row r="164" ht="20" customHeight="1" spans="5:5">
      <c r="E164" s="70"/>
    </row>
    <row r="165" ht="20" customHeight="1" spans="5:5">
      <c r="E165" s="70"/>
    </row>
    <row r="166" ht="20" customHeight="1" spans="5:5">
      <c r="E166" s="70"/>
    </row>
    <row r="167" ht="20" customHeight="1" spans="5:5">
      <c r="E167" s="70"/>
    </row>
    <row r="168" ht="20" customHeight="1" spans="5:5">
      <c r="E168" s="70"/>
    </row>
    <row r="169" ht="20" customHeight="1" spans="5:5">
      <c r="E169" s="70"/>
    </row>
    <row r="170" ht="20" customHeight="1" spans="5:5">
      <c r="E170" s="70"/>
    </row>
    <row r="171" ht="20" customHeight="1" spans="5:5">
      <c r="E171" s="70"/>
    </row>
    <row r="172" ht="20" customHeight="1" spans="5:5">
      <c r="E172" s="70"/>
    </row>
    <row r="173" ht="20" customHeight="1" spans="5:5">
      <c r="E173" s="70"/>
    </row>
    <row r="174" ht="20" customHeight="1" spans="5:5">
      <c r="E174" s="70"/>
    </row>
    <row r="175" ht="20" customHeight="1" spans="5:5">
      <c r="E175" s="70"/>
    </row>
    <row r="176" ht="20" customHeight="1" spans="5:5">
      <c r="E176" s="70"/>
    </row>
    <row r="177" ht="20" customHeight="1" spans="5:5">
      <c r="E177" s="70"/>
    </row>
    <row r="178" ht="20" customHeight="1" spans="5:5">
      <c r="E178" s="70"/>
    </row>
    <row r="179" ht="20" customHeight="1" spans="5:5">
      <c r="E179" s="70"/>
    </row>
    <row r="180" ht="20" customHeight="1" spans="5:5">
      <c r="E180" s="70"/>
    </row>
    <row r="181" ht="20" customHeight="1" spans="5:5">
      <c r="E181" s="70"/>
    </row>
    <row r="182" ht="20" customHeight="1" spans="5:5">
      <c r="E182" s="70"/>
    </row>
    <row r="183" ht="20" customHeight="1" spans="5:5">
      <c r="E183" s="70"/>
    </row>
    <row r="184" ht="20" customHeight="1" spans="5:5">
      <c r="E184" s="70"/>
    </row>
    <row r="185" ht="20" customHeight="1" spans="5:5">
      <c r="E185" s="70"/>
    </row>
    <row r="186" ht="20" customHeight="1" spans="5:5">
      <c r="E186" s="70"/>
    </row>
    <row r="187" ht="20" customHeight="1" spans="5:5">
      <c r="E187" s="70"/>
    </row>
    <row r="188" ht="20" customHeight="1" spans="5:5">
      <c r="E188" s="70"/>
    </row>
    <row r="189" ht="20" customHeight="1" spans="5:5">
      <c r="E189" s="70"/>
    </row>
    <row r="190" ht="20" customHeight="1" spans="5:5">
      <c r="E190" s="70"/>
    </row>
    <row r="191" ht="20" customHeight="1" spans="5:5">
      <c r="E191" s="70"/>
    </row>
    <row r="192" ht="20" customHeight="1" spans="5:5">
      <c r="E192" s="70"/>
    </row>
    <row r="193" ht="20" customHeight="1" spans="5:5">
      <c r="E193" s="70"/>
    </row>
    <row r="194" ht="20" customHeight="1" spans="5:5">
      <c r="E194" s="70"/>
    </row>
    <row r="195" ht="20" customHeight="1" spans="5:5">
      <c r="E195" s="70"/>
    </row>
    <row r="196" ht="20" customHeight="1" spans="5:5">
      <c r="E196" s="70"/>
    </row>
    <row r="197" ht="20" customHeight="1" spans="5:5">
      <c r="E197" s="70"/>
    </row>
    <row r="198" ht="20" customHeight="1" spans="5:5">
      <c r="E198" s="70"/>
    </row>
    <row r="199" ht="20" customHeight="1" spans="5:5">
      <c r="E199" s="70"/>
    </row>
    <row r="200" ht="20" customHeight="1" spans="5:5">
      <c r="E200" s="70"/>
    </row>
    <row r="201" ht="20" customHeight="1" spans="5:5">
      <c r="E201" s="70"/>
    </row>
  </sheetData>
  <mergeCells count="2">
    <mergeCell ref="A1:D1"/>
    <mergeCell ref="E1:H1"/>
  </mergeCells>
  <dataValidations count="1">
    <dataValidation type="list" allowBlank="1" showInputMessage="1" showErrorMessage="1" sqref="E2:E1008">
      <formula1>"最高,高,中,"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A1" sqref="A1:H1"/>
    </sheetView>
  </sheetViews>
  <sheetFormatPr defaultColWidth="8.53846153846154" defaultRowHeight="16.8" outlineLevelCol="7"/>
  <cols>
    <col min="1" max="1" width="8" customWidth="1"/>
    <col min="2" max="2" width="12" customWidth="1"/>
    <col min="3" max="3" width="18" customWidth="1"/>
    <col min="4" max="4" width="16" customWidth="1"/>
    <col min="5" max="7" width="12" customWidth="1"/>
    <col min="8" max="8" width="20" customWidth="1"/>
  </cols>
  <sheetData>
    <row r="1" ht="28" customHeight="1" spans="1:8">
      <c r="A1" s="1" t="s">
        <v>152</v>
      </c>
    </row>
    <row r="2" ht="20" customHeight="1" spans="1:8">
      <c r="A2" s="2" t="s">
        <v>153</v>
      </c>
      <c r="B2" s="2" t="s">
        <v>154</v>
      </c>
      <c r="C2" s="2" t="s">
        <v>155</v>
      </c>
      <c r="D2" s="2" t="s">
        <v>156</v>
      </c>
      <c r="E2" s="2" t="s">
        <v>157</v>
      </c>
      <c r="F2" s="2" t="s">
        <v>158</v>
      </c>
      <c r="G2" s="2" t="s">
        <v>159</v>
      </c>
      <c r="H2" s="2" t="s">
        <v>6</v>
      </c>
    </row>
    <row r="3" ht="20" customHeight="1" spans="1:8">
      <c r="A3" s="3" t="s">
        <v>160</v>
      </c>
      <c r="B3" s="4"/>
      <c r="C3" s="4"/>
      <c r="D3" s="4"/>
      <c r="E3" s="4"/>
      <c r="F3" s="4"/>
      <c r="G3" s="4"/>
      <c r="H3" s="4"/>
    </row>
    <row r="4" ht="20" customHeight="1" spans="1:8">
      <c r="A4" s="5" t="s">
        <v>161</v>
      </c>
      <c r="B4" s="6" t="s">
        <v>162</v>
      </c>
      <c r="C4" s="7" t="s">
        <v>163</v>
      </c>
      <c r="D4" s="5" t="s">
        <v>164</v>
      </c>
      <c r="E4" s="8"/>
      <c r="F4" s="8"/>
      <c r="G4" s="9" t="s">
        <v>165</v>
      </c>
      <c r="H4" s="5" t="s">
        <v>166</v>
      </c>
    </row>
    <row r="5" ht="20" customHeight="1" spans="1:8">
      <c r="A5" s="5" t="s">
        <v>161</v>
      </c>
      <c r="B5" s="6" t="s">
        <v>167</v>
      </c>
      <c r="C5" s="7" t="s">
        <v>163</v>
      </c>
      <c r="D5" s="10" t="s">
        <v>168</v>
      </c>
      <c r="E5" s="8"/>
      <c r="F5" s="8"/>
      <c r="G5" s="11"/>
      <c r="H5" s="7"/>
    </row>
    <row r="6" ht="20" customHeight="1" spans="1:8">
      <c r="A6" s="5" t="s">
        <v>161</v>
      </c>
      <c r="B6" s="6" t="s">
        <v>169</v>
      </c>
      <c r="C6" s="7" t="s">
        <v>163</v>
      </c>
      <c r="D6" s="5" t="s">
        <v>170</v>
      </c>
      <c r="E6" s="8"/>
      <c r="F6" s="8"/>
      <c r="G6" s="11"/>
      <c r="H6" s="5" t="s">
        <v>171</v>
      </c>
    </row>
    <row r="7" ht="20" customHeight="1" spans="1:8">
      <c r="A7" s="5" t="s">
        <v>161</v>
      </c>
      <c r="B7" s="6" t="s">
        <v>172</v>
      </c>
      <c r="C7" s="7" t="s">
        <v>163</v>
      </c>
      <c r="D7" s="5" t="s">
        <v>173</v>
      </c>
      <c r="E7" s="8"/>
      <c r="F7" s="8"/>
      <c r="G7" s="11"/>
      <c r="H7" s="7"/>
    </row>
    <row r="8" ht="20" customHeight="1" spans="1:8">
      <c r="A8" s="12" t="s">
        <v>174</v>
      </c>
      <c r="B8" s="4"/>
      <c r="C8" s="4"/>
      <c r="D8" s="4"/>
      <c r="E8" s="4"/>
      <c r="F8" s="4"/>
      <c r="G8" s="4"/>
      <c r="H8" s="4"/>
    </row>
    <row r="9" ht="20" customHeight="1" spans="1:8">
      <c r="A9" s="13" t="s">
        <v>175</v>
      </c>
      <c r="B9" s="14" t="s">
        <v>162</v>
      </c>
      <c r="C9" s="15" t="s">
        <v>163</v>
      </c>
      <c r="D9" s="13" t="s">
        <v>164</v>
      </c>
      <c r="E9" s="16"/>
      <c r="F9" s="16"/>
      <c r="G9" s="17"/>
      <c r="H9" s="15"/>
    </row>
    <row r="10" ht="20" customHeight="1" spans="1:8">
      <c r="A10" s="13" t="s">
        <v>175</v>
      </c>
      <c r="B10" s="14" t="s">
        <v>167</v>
      </c>
      <c r="C10" s="15" t="s">
        <v>163</v>
      </c>
      <c r="D10" s="18" t="s">
        <v>168</v>
      </c>
      <c r="E10" s="16"/>
      <c r="F10" s="16"/>
      <c r="G10" s="17"/>
      <c r="H10" s="15"/>
    </row>
    <row r="11" ht="20" customHeight="1" spans="1:8">
      <c r="A11" s="13" t="s">
        <v>175</v>
      </c>
      <c r="B11" s="14" t="s">
        <v>169</v>
      </c>
      <c r="C11" s="15" t="s">
        <v>163</v>
      </c>
      <c r="D11" s="13" t="s">
        <v>170</v>
      </c>
      <c r="E11" s="16"/>
      <c r="F11" s="16"/>
      <c r="G11" s="17"/>
      <c r="H11" s="15"/>
    </row>
    <row r="12" ht="20" customHeight="1" spans="1:8">
      <c r="A12" s="19" t="s">
        <v>176</v>
      </c>
      <c r="B12" s="4"/>
      <c r="C12" s="4"/>
      <c r="D12" s="4"/>
      <c r="E12" s="4"/>
      <c r="F12" s="4"/>
      <c r="G12" s="4"/>
      <c r="H12" s="4"/>
    </row>
    <row r="13" ht="20" customHeight="1" spans="1:8">
      <c r="A13" s="20" t="s">
        <v>177</v>
      </c>
      <c r="B13" s="21" t="s">
        <v>169</v>
      </c>
      <c r="C13" s="22" t="s">
        <v>163</v>
      </c>
      <c r="D13" s="20" t="s">
        <v>170</v>
      </c>
      <c r="E13" s="23"/>
      <c r="F13" s="23"/>
      <c r="G13" s="24"/>
      <c r="H13" s="22"/>
    </row>
    <row r="14" ht="20" customHeight="1" spans="1:8">
      <c r="A14" s="20" t="s">
        <v>177</v>
      </c>
      <c r="B14" s="21" t="s">
        <v>167</v>
      </c>
      <c r="C14" s="22" t="s">
        <v>163</v>
      </c>
      <c r="D14" s="20" t="s">
        <v>178</v>
      </c>
      <c r="E14" s="23"/>
      <c r="F14" s="23"/>
      <c r="G14" s="24"/>
      <c r="H14" s="22"/>
    </row>
    <row r="15" ht="20" customHeight="1" spans="1:8">
      <c r="A15" s="20" t="s">
        <v>179</v>
      </c>
      <c r="B15" s="21" t="s">
        <v>169</v>
      </c>
      <c r="C15" s="22" t="s">
        <v>163</v>
      </c>
      <c r="D15" s="20" t="s">
        <v>170</v>
      </c>
      <c r="E15" s="23"/>
      <c r="F15" s="23"/>
      <c r="G15" s="24"/>
      <c r="H15" s="22"/>
    </row>
    <row r="16" ht="20" customHeight="1" spans="1:8">
      <c r="A16" s="20" t="s">
        <v>179</v>
      </c>
      <c r="B16" s="21" t="s">
        <v>167</v>
      </c>
      <c r="C16" s="22" t="s">
        <v>163</v>
      </c>
      <c r="D16" s="20" t="s">
        <v>178</v>
      </c>
      <c r="E16" s="23"/>
      <c r="F16" s="23"/>
      <c r="G16" s="24"/>
      <c r="H16" s="22"/>
    </row>
    <row r="17" ht="20" customHeight="1" spans="1:8">
      <c r="A17" s="25" t="s">
        <v>180</v>
      </c>
      <c r="B17" s="4"/>
      <c r="C17" s="4"/>
      <c r="D17" s="4"/>
      <c r="E17" s="4"/>
      <c r="F17" s="4"/>
      <c r="G17" s="4"/>
      <c r="H17" s="4"/>
    </row>
    <row r="18" ht="20" customHeight="1" spans="1:8">
      <c r="A18" s="26" t="s">
        <v>181</v>
      </c>
      <c r="B18" s="27" t="s">
        <v>182</v>
      </c>
      <c r="C18" s="28" t="s">
        <v>163</v>
      </c>
      <c r="D18" s="26" t="s">
        <v>170</v>
      </c>
      <c r="E18" s="29"/>
      <c r="F18" s="29"/>
      <c r="G18" s="30"/>
      <c r="H18" s="26" t="s">
        <v>183</v>
      </c>
    </row>
    <row r="19" ht="20" customHeight="1" spans="1:8">
      <c r="A19" s="26" t="s">
        <v>181</v>
      </c>
      <c r="B19" s="27" t="s">
        <v>172</v>
      </c>
      <c r="C19" s="28" t="s">
        <v>163</v>
      </c>
      <c r="D19" s="26" t="s">
        <v>184</v>
      </c>
      <c r="E19" s="29"/>
      <c r="F19" s="29"/>
      <c r="G19" s="30"/>
      <c r="H19" s="26" t="s">
        <v>185</v>
      </c>
    </row>
    <row r="20" ht="20" customHeight="1" spans="1:8">
      <c r="A20" s="31" t="s">
        <v>186</v>
      </c>
      <c r="B20" s="4"/>
      <c r="C20" s="4"/>
      <c r="D20" s="4"/>
      <c r="E20" s="4"/>
      <c r="F20" s="4"/>
      <c r="G20" s="4"/>
      <c r="H20" s="4"/>
    </row>
    <row r="21" ht="20" customHeight="1" spans="1:8">
      <c r="A21" s="32" t="s">
        <v>187</v>
      </c>
      <c r="B21" s="33" t="s">
        <v>188</v>
      </c>
      <c r="C21" s="34" t="s">
        <v>163</v>
      </c>
      <c r="D21" s="32" t="s">
        <v>189</v>
      </c>
      <c r="E21" s="35"/>
      <c r="F21" s="35"/>
      <c r="G21" s="36"/>
      <c r="H21" s="32" t="s">
        <v>190</v>
      </c>
    </row>
    <row r="22" ht="20" customHeight="1" spans="1:8">
      <c r="A22" s="32" t="s">
        <v>187</v>
      </c>
      <c r="B22" s="33" t="s">
        <v>191</v>
      </c>
      <c r="C22" s="34" t="s">
        <v>163</v>
      </c>
      <c r="D22" s="32" t="s">
        <v>192</v>
      </c>
      <c r="E22" s="35"/>
      <c r="F22" s="35"/>
      <c r="G22" s="36"/>
      <c r="H22" s="34"/>
    </row>
    <row r="23" ht="20" customHeight="1" spans="1:8">
      <c r="A23" s="37" t="s">
        <v>193</v>
      </c>
      <c r="B23" s="38"/>
      <c r="C23" s="38"/>
      <c r="D23" s="38"/>
      <c r="E23" s="38"/>
      <c r="F23" s="39">
        <f>SUM(F4:F22)</f>
        <v>0</v>
      </c>
      <c r="G23" s="38"/>
      <c r="H23" s="38"/>
    </row>
    <row r="24" ht="20" customHeight="1" spans="1:8">
      <c r="A24" s="40" t="s">
        <v>194</v>
      </c>
      <c r="B24" s="4"/>
      <c r="C24" s="4"/>
      <c r="D24" s="4"/>
      <c r="E24" s="4"/>
      <c r="F24" s="4"/>
      <c r="G24" s="4"/>
      <c r="H24" s="4"/>
    </row>
  </sheetData>
  <mergeCells count="7">
    <mergeCell ref="A1:H1"/>
    <mergeCell ref="A3:H3"/>
    <mergeCell ref="A8:H8"/>
    <mergeCell ref="A12:H12"/>
    <mergeCell ref="A17:H17"/>
    <mergeCell ref="A20:H20"/>
    <mergeCell ref="A24:H24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家庭资产负债表</vt:lpstr>
      <vt:lpstr>家庭年度收入支出表</vt:lpstr>
      <vt:lpstr>家庭理财目标表_3</vt:lpstr>
      <vt:lpstr>家庭保险登记表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sandy</cp:lastModifiedBy>
  <cp:revision>0</cp:revision>
  <dcterms:created xsi:type="dcterms:W3CDTF">2026-04-28T16:28:00Z</dcterms:created>
  <dcterms:modified xsi:type="dcterms:W3CDTF">2026-04-29T20:16:26Z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9C4A0E52200061464BB8F169923EB252_42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